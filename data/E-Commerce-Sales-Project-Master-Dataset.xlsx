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202300"/>
  <mc:AlternateContent xmlns:mc="http://schemas.openxmlformats.org/markup-compatibility/2006">
    <mc:Choice Requires="x15">
      <x15ac:absPath xmlns:x15ac="http://schemas.microsoft.com/office/spreadsheetml/2010/11/ac" url="C:\Users\DELL\Documents\E-Commerce Project\"/>
    </mc:Choice>
  </mc:AlternateContent>
  <xr:revisionPtr revIDLastSave="0" documentId="13_ncr:1_{57091E9E-3F83-47C5-95B8-399038A98896}" xr6:coauthVersionLast="47" xr6:coauthVersionMax="47" xr10:uidLastSave="{00000000-0000-0000-0000-000000000000}"/>
  <bookViews>
    <workbookView xWindow="-120" yWindow="-120" windowWidth="20730" windowHeight="11160" firstSheet="1" activeTab="3" xr2:uid="{B7C2C76B-4A5B-49FB-80E7-E699C5F87138}"/>
  </bookViews>
  <sheets>
    <sheet name="E-Commerce Sales Project Master" sheetId="1" r:id="rId1"/>
    <sheet name="Pivot Table" sheetId="2" r:id="rId2"/>
    <sheet name="Charts" sheetId="3" r:id="rId3"/>
    <sheet name="Dashboard" sheetId="5" r:id="rId4"/>
  </sheets>
  <definedNames>
    <definedName name="AvgOrderValue">'Pivot Table'!$I$3</definedName>
    <definedName name="NativeTimeline_order_date">#N/A</definedName>
    <definedName name="OrderCount">'Pivot Table'!$A$5</definedName>
    <definedName name="Slicer_category">#N/A</definedName>
    <definedName name="Slicer_city">#N/A</definedName>
    <definedName name="Slicer_product_name">#N/A</definedName>
    <definedName name="TotalRevenue">'Pivot Table'!$A$2</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2" l="1"/>
</calcChain>
</file>

<file path=xl/sharedStrings.xml><?xml version="1.0" encoding="utf-8"?>
<sst xmlns="http://schemas.openxmlformats.org/spreadsheetml/2006/main" count="122" uniqueCount="49">
  <si>
    <t>order_item_id</t>
  </si>
  <si>
    <t>order_id</t>
  </si>
  <si>
    <t>order_date</t>
  </si>
  <si>
    <t>customer_id</t>
  </si>
  <si>
    <t>customer_name</t>
  </si>
  <si>
    <t>city</t>
  </si>
  <si>
    <t>product_id</t>
  </si>
  <si>
    <t>product_name</t>
  </si>
  <si>
    <t>category</t>
  </si>
  <si>
    <t>quantity</t>
  </si>
  <si>
    <t>price</t>
  </si>
  <si>
    <t>revenue</t>
  </si>
  <si>
    <t>David Okoro</t>
  </si>
  <si>
    <t>Lagos</t>
  </si>
  <si>
    <t>iPhone 14</t>
  </si>
  <si>
    <t>Electronics</t>
  </si>
  <si>
    <t>Bluetooth Speaker</t>
  </si>
  <si>
    <t>Sarah Adebayo</t>
  </si>
  <si>
    <t>Abuja</t>
  </si>
  <si>
    <t>Samsung TV</t>
  </si>
  <si>
    <t>Michael Ibrahim</t>
  </si>
  <si>
    <t>Kano</t>
  </si>
  <si>
    <t>HP Laptop</t>
  </si>
  <si>
    <t>Nike Sneakers</t>
  </si>
  <si>
    <t>Fashion</t>
  </si>
  <si>
    <t>Daniel Eze</t>
  </si>
  <si>
    <t>Port Harcourt</t>
  </si>
  <si>
    <t>Standing Desk</t>
  </si>
  <si>
    <t>Furniture</t>
  </si>
  <si>
    <t>Joy Balogun</t>
  </si>
  <si>
    <t>Leather Bag</t>
  </si>
  <si>
    <t>Samuel Osei</t>
  </si>
  <si>
    <t>Accra</t>
  </si>
  <si>
    <t>Office Chair</t>
  </si>
  <si>
    <t>Esther Nwosu</t>
  </si>
  <si>
    <t>Wrist Watch</t>
  </si>
  <si>
    <t>Accessories</t>
  </si>
  <si>
    <t>Paul Adeyemi</t>
  </si>
  <si>
    <t>Ibadan</t>
  </si>
  <si>
    <t>Backpack</t>
  </si>
  <si>
    <t>Linda Okafor</t>
  </si>
  <si>
    <t>Grace Mensah</t>
  </si>
  <si>
    <t>Sum of revenue</t>
  </si>
  <si>
    <t>Count of order_id</t>
  </si>
  <si>
    <t>Row Labels</t>
  </si>
  <si>
    <t>Grand Total</t>
  </si>
  <si>
    <t>Sep</t>
  </si>
  <si>
    <t>Oct</t>
  </si>
  <si>
    <t>Average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</si>
</sst>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6" fillId="0" borderId="0" xfId="0" applyFont="1" applyAlignment="1">
      <alignment horizontal="center"/>
    </xf>
    <xf numFmtId="0" fontId="0" fillId="0" borderId="0" xfId="0" applyAlignment="1">
      <alignment horizontal="center"/>
    </xf>
    <xf numFmtId="14" fontId="0" fillId="0" borderId="0" xfId="0" applyNumberFormat="1" applyAlignment="1">
      <alignment horizontal="center"/>
    </xf>
    <xf numFmtId="164" fontId="0" fillId="0" borderId="0" xfId="0" applyNumberFormat="1"/>
    <xf numFmtId="0" fontId="0" fillId="0" borderId="0" xfId="0" pivotButton="1"/>
    <xf numFmtId="0" fontId="0" fillId="0" borderId="0" xfId="0" applyAlignment="1">
      <alignment horizontal="left"/>
    </xf>
    <xf numFmtId="0" fontId="0" fillId="34" borderId="0" xfId="0" applyFill="1"/>
    <xf numFmtId="164" fontId="0" fillId="33"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sz val="11"/>
        <color theme="1"/>
      </font>
      <fill>
        <patternFill>
          <bgColor rgb="FF002060"/>
        </patternFill>
      </fill>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ill>
        <patternFill>
          <bgColor rgb="FF002060"/>
        </patternFill>
      </fill>
    </dxf>
    <dxf>
      <fill>
        <patternFill>
          <bgColor theme="0"/>
        </patternFill>
      </fill>
    </dxf>
  </dxfs>
  <tableStyles count="2" defaultTableStyle="TableStyleMedium2" defaultPivotStyle="PivotStyleLight16">
    <tableStyle name="Slicer Style 1" pivot="0" table="0" count="7" xr9:uid="{F896235F-2897-4F31-83C9-75938FCA7A95}">
      <tableStyleElement type="wholeTable" dxfId="17"/>
      <tableStyleElement type="headerRow" dxfId="16"/>
    </tableStyle>
    <tableStyle name="Timeline Style 1" pivot="0" table="0" count="9" xr9:uid="{FC7258F1-FF42-4FEE-94E2-C2AD52325F20}">
      <tableStyleElement type="wholeTable" dxfId="15"/>
      <tableStyleElement type="headerRow" dxfId="14"/>
    </tableStyle>
  </tableStyles>
  <colors>
    <mruColors>
      <color rgb="FF0F2C5A"/>
    </mruColors>
  </colors>
  <extLst>
    <ext xmlns:x14="http://schemas.microsoft.com/office/spreadsheetml/2009/9/main" uri="{46F421CA-312F-682f-3DD2-61675219B42D}">
      <x14:dxfs count="5">
        <dxf>
          <fill>
            <patternFill>
              <bgColor theme="3" tint="0.749961851863155"/>
            </patternFill>
          </fill>
        </dxf>
        <dxf>
          <fill>
            <patternFill>
              <bgColor theme="4" tint="0.59996337778862885"/>
            </patternFill>
          </fill>
        </dxf>
        <dxf>
          <fill>
            <patternFill>
              <bgColor theme="2" tint="-0.499984740745262"/>
            </patternFill>
          </fill>
        </dxf>
        <dxf>
          <fill>
            <patternFill>
              <bgColor theme="0" tint="-4.9989318521683403E-2"/>
            </patternFill>
          </fill>
        </dxf>
        <dxf>
          <fill>
            <patternFill>
              <bgColor theme="0" tint="-4.9989318521683403E-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unselectedItemWithNo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A0A4C193-F2C1-4fcb-8827-314CF55A85BB}">
      <x15:dxfs count="7">
        <dxf>
          <fill>
            <patternFill>
              <bgColor rgb="FF002060"/>
            </patternFill>
          </fill>
        </dxf>
        <dxf>
          <fill>
            <patternFill patternType="solid">
              <fgColor theme="0" tint="-0.14990691854609822"/>
              <bgColor rgb="FF002060"/>
            </patternFill>
          </fill>
        </dxf>
        <dxf>
          <fill>
            <patternFill patternType="solid">
              <fgColor theme="0"/>
              <bgColor theme="2" tint="-0.499984740745262"/>
            </patternFill>
          </fill>
        </dxf>
        <dxf>
          <font>
            <sz val="9"/>
            <color rgb="FF002060"/>
            <name val="Aptos Narrow"/>
            <family val="2"/>
            <scheme val="minor"/>
          </font>
        </dxf>
        <dxf>
          <font>
            <sz val="9"/>
            <color theme="1" tint="0.499984740745262"/>
          </font>
        </dxf>
        <dxf>
          <font>
            <sz val="9"/>
            <color theme="1" tint="0.14996795556505021"/>
            <name val="Aptos Narrow"/>
            <family val="2"/>
            <scheme val="minor"/>
          </font>
        </dxf>
        <dxf>
          <font>
            <sz val="10"/>
            <color rgb="FF002060"/>
            <name val="Aptos Narrow"/>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Project Master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Trend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Table'!$D$1</c:f>
              <c:strCache>
                <c:ptCount val="1"/>
                <c:pt idx="0">
                  <c:v>Total</c:v>
                </c:pt>
              </c:strCache>
            </c:strRef>
          </c:tx>
          <c:spPr>
            <a:ln w="28575" cap="rnd">
              <a:solidFill>
                <a:schemeClr val="accent1"/>
              </a:solidFill>
              <a:round/>
            </a:ln>
            <a:effectLst/>
          </c:spPr>
          <c:marker>
            <c:symbol val="none"/>
          </c:marker>
          <c:cat>
            <c:strRef>
              <c:f>'Pivot Table'!$C$2:$C$4</c:f>
              <c:strCache>
                <c:ptCount val="2"/>
                <c:pt idx="0">
                  <c:v>Sep</c:v>
                </c:pt>
                <c:pt idx="1">
                  <c:v>Oct</c:v>
                </c:pt>
              </c:strCache>
            </c:strRef>
          </c:cat>
          <c:val>
            <c:numRef>
              <c:f>'Pivot Table'!$D$2:$D$4</c:f>
              <c:numCache>
                <c:formatCode>General</c:formatCode>
                <c:ptCount val="2"/>
                <c:pt idx="0">
                  <c:v>4815</c:v>
                </c:pt>
                <c:pt idx="1">
                  <c:v>2385</c:v>
                </c:pt>
              </c:numCache>
            </c:numRef>
          </c:val>
          <c:smooth val="0"/>
          <c:extLst>
            <c:ext xmlns:c16="http://schemas.microsoft.com/office/drawing/2014/chart" uri="{C3380CC4-5D6E-409C-BE32-E72D297353CC}">
              <c16:uniqueId val="{00000000-5188-4D04-8F29-5AF8EE2202F2}"/>
            </c:ext>
          </c:extLst>
        </c:ser>
        <c:dLbls>
          <c:showLegendKey val="0"/>
          <c:showVal val="0"/>
          <c:showCatName val="0"/>
          <c:showSerName val="0"/>
          <c:showPercent val="0"/>
          <c:showBubbleSize val="0"/>
        </c:dLbls>
        <c:smooth val="0"/>
        <c:axId val="251394800"/>
        <c:axId val="590471744"/>
      </c:lineChart>
      <c:catAx>
        <c:axId val="25139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471744"/>
        <c:crosses val="autoZero"/>
        <c:auto val="1"/>
        <c:lblAlgn val="ctr"/>
        <c:lblOffset val="100"/>
        <c:noMultiLvlLbl val="0"/>
      </c:catAx>
      <c:valAx>
        <c:axId val="590471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394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Project Master Dataset.xlsx]Pivot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Table'!$D$6</c:f>
              <c:strCache>
                <c:ptCount val="1"/>
                <c:pt idx="0">
                  <c:v>Total</c:v>
                </c:pt>
              </c:strCache>
            </c:strRef>
          </c:tx>
          <c:spPr>
            <a:solidFill>
              <a:schemeClr val="accent1"/>
            </a:solidFill>
            <a:ln>
              <a:noFill/>
            </a:ln>
            <a:effectLst/>
          </c:spPr>
          <c:invertIfNegative val="0"/>
          <c:cat>
            <c:strRef>
              <c:f>'Pivot Table'!$C$7:$C$11</c:f>
              <c:strCache>
                <c:ptCount val="4"/>
                <c:pt idx="0">
                  <c:v>Electronics</c:v>
                </c:pt>
                <c:pt idx="1">
                  <c:v>Fashion</c:v>
                </c:pt>
                <c:pt idx="2">
                  <c:v>Furniture</c:v>
                </c:pt>
                <c:pt idx="3">
                  <c:v>Accessories</c:v>
                </c:pt>
              </c:strCache>
            </c:strRef>
          </c:cat>
          <c:val>
            <c:numRef>
              <c:f>'Pivot Table'!$D$7:$D$11</c:f>
              <c:numCache>
                <c:formatCode>General</c:formatCode>
                <c:ptCount val="4"/>
                <c:pt idx="0">
                  <c:v>5605</c:v>
                </c:pt>
                <c:pt idx="1">
                  <c:v>875</c:v>
                </c:pt>
                <c:pt idx="2">
                  <c:v>540</c:v>
                </c:pt>
                <c:pt idx="3">
                  <c:v>180</c:v>
                </c:pt>
              </c:numCache>
            </c:numRef>
          </c:val>
          <c:extLst>
            <c:ext xmlns:c16="http://schemas.microsoft.com/office/drawing/2014/chart" uri="{C3380CC4-5D6E-409C-BE32-E72D297353CC}">
              <c16:uniqueId val="{00000000-FB0E-4161-B5F0-A3A5941C5332}"/>
            </c:ext>
          </c:extLst>
        </c:ser>
        <c:dLbls>
          <c:showLegendKey val="0"/>
          <c:showVal val="0"/>
          <c:showCatName val="0"/>
          <c:showSerName val="0"/>
          <c:showPercent val="0"/>
          <c:showBubbleSize val="0"/>
        </c:dLbls>
        <c:gapWidth val="219"/>
        <c:overlap val="-27"/>
        <c:axId val="948456864"/>
        <c:axId val="948457344"/>
      </c:barChart>
      <c:catAx>
        <c:axId val="94845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457344"/>
        <c:crosses val="autoZero"/>
        <c:auto val="1"/>
        <c:lblAlgn val="ctr"/>
        <c:lblOffset val="100"/>
        <c:noMultiLvlLbl val="0"/>
      </c:catAx>
      <c:valAx>
        <c:axId val="948457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45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Project Master Dataset.xlsx]Pivot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Products</a:t>
            </a:r>
          </a:p>
        </c:rich>
      </c:tx>
      <c:layout>
        <c:manualLayout>
          <c:xMode val="edge"/>
          <c:yMode val="edge"/>
          <c:x val="0.38769444444444445"/>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Table'!$G$9</c:f>
              <c:strCache>
                <c:ptCount val="1"/>
                <c:pt idx="0">
                  <c:v>Total</c:v>
                </c:pt>
              </c:strCache>
            </c:strRef>
          </c:tx>
          <c:spPr>
            <a:solidFill>
              <a:schemeClr val="accent1"/>
            </a:solidFill>
            <a:ln>
              <a:noFill/>
            </a:ln>
            <a:effectLst/>
          </c:spPr>
          <c:invertIfNegative val="0"/>
          <c:cat>
            <c:strRef>
              <c:f>'Pivot Table'!$F$10:$F$20</c:f>
              <c:strCache>
                <c:ptCount val="10"/>
                <c:pt idx="0">
                  <c:v>HP Laptop</c:v>
                </c:pt>
                <c:pt idx="1">
                  <c:v>iPhone 14</c:v>
                </c:pt>
                <c:pt idx="2">
                  <c:v>Samsung TV</c:v>
                </c:pt>
                <c:pt idx="3">
                  <c:v>Nike Sneakers</c:v>
                </c:pt>
                <c:pt idx="4">
                  <c:v>Standing Desk</c:v>
                </c:pt>
                <c:pt idx="5">
                  <c:v>Bluetooth Speaker</c:v>
                </c:pt>
                <c:pt idx="6">
                  <c:v>Office Chair</c:v>
                </c:pt>
                <c:pt idx="7">
                  <c:v>Backpack</c:v>
                </c:pt>
                <c:pt idx="8">
                  <c:v>Leather Bag</c:v>
                </c:pt>
                <c:pt idx="9">
                  <c:v>Wrist Watch</c:v>
                </c:pt>
              </c:strCache>
            </c:strRef>
          </c:cat>
          <c:val>
            <c:numRef>
              <c:f>'Pivot Table'!$G$10:$G$20</c:f>
              <c:numCache>
                <c:formatCode>General</c:formatCode>
                <c:ptCount val="10"/>
                <c:pt idx="0">
                  <c:v>2250</c:v>
                </c:pt>
                <c:pt idx="1">
                  <c:v>1800</c:v>
                </c:pt>
                <c:pt idx="2">
                  <c:v>1300</c:v>
                </c:pt>
                <c:pt idx="3">
                  <c:v>450</c:v>
                </c:pt>
                <c:pt idx="4">
                  <c:v>300</c:v>
                </c:pt>
                <c:pt idx="5">
                  <c:v>255</c:v>
                </c:pt>
                <c:pt idx="6">
                  <c:v>240</c:v>
                </c:pt>
                <c:pt idx="7">
                  <c:v>225</c:v>
                </c:pt>
                <c:pt idx="8">
                  <c:v>200</c:v>
                </c:pt>
                <c:pt idx="9">
                  <c:v>180</c:v>
                </c:pt>
              </c:numCache>
            </c:numRef>
          </c:val>
          <c:extLst>
            <c:ext xmlns:c16="http://schemas.microsoft.com/office/drawing/2014/chart" uri="{C3380CC4-5D6E-409C-BE32-E72D297353CC}">
              <c16:uniqueId val="{00000000-C74D-4816-A658-CDDB95E8C1FE}"/>
            </c:ext>
          </c:extLst>
        </c:ser>
        <c:dLbls>
          <c:showLegendKey val="0"/>
          <c:showVal val="0"/>
          <c:showCatName val="0"/>
          <c:showSerName val="0"/>
          <c:showPercent val="0"/>
          <c:showBubbleSize val="0"/>
        </c:dLbls>
        <c:gapWidth val="182"/>
        <c:axId val="1368178767"/>
        <c:axId val="1368175887"/>
      </c:barChart>
      <c:catAx>
        <c:axId val="1368178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175887"/>
        <c:crosses val="autoZero"/>
        <c:auto val="1"/>
        <c:lblAlgn val="ctr"/>
        <c:lblOffset val="100"/>
        <c:noMultiLvlLbl val="0"/>
      </c:catAx>
      <c:valAx>
        <c:axId val="13681758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178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Project Master Dataset.xlsx]Pivot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Customers</a:t>
            </a:r>
            <a:endParaRPr lang="en-US"/>
          </a:p>
        </c:rich>
      </c:tx>
      <c:layout>
        <c:manualLayout>
          <c:xMode val="edge"/>
          <c:yMode val="edge"/>
          <c:x val="0.37990966754155731"/>
          <c:y val="9.1571886847477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Table'!$G$1</c:f>
              <c:strCache>
                <c:ptCount val="1"/>
                <c:pt idx="0">
                  <c:v>Total</c:v>
                </c:pt>
              </c:strCache>
            </c:strRef>
          </c:tx>
          <c:spPr>
            <a:solidFill>
              <a:schemeClr val="accent1"/>
            </a:solidFill>
            <a:ln>
              <a:noFill/>
            </a:ln>
            <a:effectLst/>
          </c:spPr>
          <c:invertIfNegative val="0"/>
          <c:cat>
            <c:strRef>
              <c:f>'Pivot Table'!$F$2:$F$7</c:f>
              <c:strCache>
                <c:ptCount val="5"/>
                <c:pt idx="0">
                  <c:v>Michael Ibrahim</c:v>
                </c:pt>
                <c:pt idx="1">
                  <c:v>David Okoro</c:v>
                </c:pt>
                <c:pt idx="2">
                  <c:v>Linda Okafor</c:v>
                </c:pt>
                <c:pt idx="3">
                  <c:v>Sarah Adebayo</c:v>
                </c:pt>
                <c:pt idx="4">
                  <c:v>Grace Mensah</c:v>
                </c:pt>
              </c:strCache>
            </c:strRef>
          </c:cat>
          <c:val>
            <c:numRef>
              <c:f>'Pivot Table'!$G$2:$G$7</c:f>
              <c:numCache>
                <c:formatCode>General</c:formatCode>
                <c:ptCount val="5"/>
                <c:pt idx="0">
                  <c:v>2335</c:v>
                </c:pt>
                <c:pt idx="1">
                  <c:v>1370</c:v>
                </c:pt>
                <c:pt idx="2">
                  <c:v>900</c:v>
                </c:pt>
                <c:pt idx="3">
                  <c:v>800</c:v>
                </c:pt>
                <c:pt idx="4">
                  <c:v>650</c:v>
                </c:pt>
              </c:numCache>
            </c:numRef>
          </c:val>
          <c:extLst>
            <c:ext xmlns:c16="http://schemas.microsoft.com/office/drawing/2014/chart" uri="{C3380CC4-5D6E-409C-BE32-E72D297353CC}">
              <c16:uniqueId val="{00000000-D251-4BD2-BBD7-16CDE65BEFA0}"/>
            </c:ext>
          </c:extLst>
        </c:ser>
        <c:dLbls>
          <c:showLegendKey val="0"/>
          <c:showVal val="0"/>
          <c:showCatName val="0"/>
          <c:showSerName val="0"/>
          <c:showPercent val="0"/>
          <c:showBubbleSize val="0"/>
        </c:dLbls>
        <c:gapWidth val="182"/>
        <c:axId val="1334088655"/>
        <c:axId val="1334086735"/>
      </c:barChart>
      <c:catAx>
        <c:axId val="1334088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086735"/>
        <c:crosses val="autoZero"/>
        <c:auto val="1"/>
        <c:lblAlgn val="ctr"/>
        <c:lblOffset val="100"/>
        <c:noMultiLvlLbl val="0"/>
      </c:catAx>
      <c:valAx>
        <c:axId val="1334086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088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Project Master Dataset.xlsx]Pivot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a:t>
            </a:r>
            <a:r>
              <a:rPr lang="en-US" baseline="0"/>
              <a:t>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Table'!$D$13</c:f>
              <c:strCache>
                <c:ptCount val="1"/>
                <c:pt idx="0">
                  <c:v>Total</c:v>
                </c:pt>
              </c:strCache>
            </c:strRef>
          </c:tx>
          <c:spPr>
            <a:solidFill>
              <a:schemeClr val="accent1"/>
            </a:solidFill>
            <a:ln>
              <a:noFill/>
            </a:ln>
            <a:effectLst/>
          </c:spPr>
          <c:invertIfNegative val="0"/>
          <c:cat>
            <c:strRef>
              <c:f>'Pivot Table'!$C$14:$C$20</c:f>
              <c:strCache>
                <c:ptCount val="6"/>
                <c:pt idx="0">
                  <c:v>Lagos</c:v>
                </c:pt>
                <c:pt idx="1">
                  <c:v>Kano</c:v>
                </c:pt>
                <c:pt idx="2">
                  <c:v>Abuja</c:v>
                </c:pt>
                <c:pt idx="3">
                  <c:v>Accra</c:v>
                </c:pt>
                <c:pt idx="4">
                  <c:v>Port Harcourt</c:v>
                </c:pt>
                <c:pt idx="5">
                  <c:v>Ibadan</c:v>
                </c:pt>
              </c:strCache>
            </c:strRef>
          </c:cat>
          <c:val>
            <c:numRef>
              <c:f>'Pivot Table'!$D$14:$D$20</c:f>
              <c:numCache>
                <c:formatCode>General</c:formatCode>
                <c:ptCount val="6"/>
                <c:pt idx="0">
                  <c:v>5</c:v>
                </c:pt>
                <c:pt idx="1">
                  <c:v>3</c:v>
                </c:pt>
                <c:pt idx="2">
                  <c:v>3</c:v>
                </c:pt>
                <c:pt idx="3">
                  <c:v>2</c:v>
                </c:pt>
                <c:pt idx="4">
                  <c:v>1</c:v>
                </c:pt>
                <c:pt idx="5">
                  <c:v>1</c:v>
                </c:pt>
              </c:numCache>
            </c:numRef>
          </c:val>
          <c:extLst>
            <c:ext xmlns:c16="http://schemas.microsoft.com/office/drawing/2014/chart" uri="{C3380CC4-5D6E-409C-BE32-E72D297353CC}">
              <c16:uniqueId val="{00000000-270A-4CAD-936A-2D5882248A1F}"/>
            </c:ext>
          </c:extLst>
        </c:ser>
        <c:dLbls>
          <c:showLegendKey val="0"/>
          <c:showVal val="0"/>
          <c:showCatName val="0"/>
          <c:showSerName val="0"/>
          <c:showPercent val="0"/>
          <c:showBubbleSize val="0"/>
        </c:dLbls>
        <c:gapWidth val="219"/>
        <c:overlap val="-27"/>
        <c:axId val="1672551023"/>
        <c:axId val="1672551503"/>
      </c:barChart>
      <c:catAx>
        <c:axId val="167255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551503"/>
        <c:crosses val="autoZero"/>
        <c:auto val="1"/>
        <c:lblAlgn val="ctr"/>
        <c:lblOffset val="100"/>
        <c:noMultiLvlLbl val="0"/>
      </c:catAx>
      <c:valAx>
        <c:axId val="1672551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551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Project Master Dataset.xlsx]Pivot Table!PivotTable8</c:name>
    <c:fmtId val="4"/>
  </c:pivotSource>
  <c:chart>
    <c:title>
      <c:tx>
        <c:rich>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r>
              <a:rPr lang="en-US" b="1">
                <a:solidFill>
                  <a:schemeClr val="bg2">
                    <a:lumMod val="25000"/>
                  </a:schemeClr>
                </a:solidFill>
              </a:rPr>
              <a:t>Order</a:t>
            </a:r>
            <a:r>
              <a:rPr lang="en-US" b="1" baseline="0">
                <a:solidFill>
                  <a:schemeClr val="bg2">
                    <a:lumMod val="25000"/>
                  </a:schemeClr>
                </a:solidFill>
              </a:rPr>
              <a:t> Volume by Month</a:t>
            </a:r>
            <a:endParaRPr lang="en-US" b="1">
              <a:solidFill>
                <a:schemeClr val="bg2">
                  <a:lumMod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endParaRPr lang="en-US"/>
        </a:p>
      </c:txPr>
    </c:title>
    <c:autoTitleDeleted val="0"/>
    <c:pivotFmts>
      <c:pivotFmt>
        <c:idx val="0"/>
        <c:spPr>
          <a:solidFill>
            <a:srgbClr val="0F2C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F2C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F2C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Table'!$J$5</c:f>
              <c:strCache>
                <c:ptCount val="1"/>
                <c:pt idx="0">
                  <c:v>Total</c:v>
                </c:pt>
              </c:strCache>
            </c:strRef>
          </c:tx>
          <c:spPr>
            <a:solidFill>
              <a:srgbClr val="0F2C5A"/>
            </a:solidFill>
            <a:ln>
              <a:noFill/>
            </a:ln>
            <a:effectLst/>
          </c:spPr>
          <c:invertIfNegative val="0"/>
          <c:cat>
            <c:strRef>
              <c:f>'Pivot Table'!$I$6:$I$8</c:f>
              <c:strCache>
                <c:ptCount val="2"/>
                <c:pt idx="0">
                  <c:v>Sep</c:v>
                </c:pt>
                <c:pt idx="1">
                  <c:v>Oct</c:v>
                </c:pt>
              </c:strCache>
            </c:strRef>
          </c:cat>
          <c:val>
            <c:numRef>
              <c:f>'Pivot Table'!$J$6:$J$8</c:f>
              <c:numCache>
                <c:formatCode>General</c:formatCode>
                <c:ptCount val="2"/>
                <c:pt idx="0">
                  <c:v>11</c:v>
                </c:pt>
                <c:pt idx="1">
                  <c:v>4</c:v>
                </c:pt>
              </c:numCache>
            </c:numRef>
          </c:val>
          <c:extLst>
            <c:ext xmlns:c16="http://schemas.microsoft.com/office/drawing/2014/chart" uri="{C3380CC4-5D6E-409C-BE32-E72D297353CC}">
              <c16:uniqueId val="{00000000-3EBA-4825-8E48-02EF608DF589}"/>
            </c:ext>
          </c:extLst>
        </c:ser>
        <c:dLbls>
          <c:showLegendKey val="0"/>
          <c:showVal val="0"/>
          <c:showCatName val="0"/>
          <c:showSerName val="0"/>
          <c:showPercent val="0"/>
          <c:showBubbleSize val="0"/>
        </c:dLbls>
        <c:gapWidth val="219"/>
        <c:overlap val="-27"/>
        <c:axId val="1489933855"/>
        <c:axId val="1489934335"/>
      </c:barChart>
      <c:catAx>
        <c:axId val="148993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934335"/>
        <c:crosses val="autoZero"/>
        <c:auto val="1"/>
        <c:lblAlgn val="ctr"/>
        <c:lblOffset val="100"/>
        <c:noMultiLvlLbl val="0"/>
      </c:catAx>
      <c:valAx>
        <c:axId val="14899343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933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 Sales Project Master Dataset.xlsx]Pivot Table!PivotTable6</c:name>
    <c:fmtId val="4"/>
  </c:pivotSource>
  <c:chart>
    <c:title>
      <c:tx>
        <c:rich>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r>
              <a:rPr lang="en-US" b="1">
                <a:solidFill>
                  <a:schemeClr val="bg2">
                    <a:lumMod val="25000"/>
                  </a:schemeClr>
                </a:solidFill>
              </a:rPr>
              <a:t>Top</a:t>
            </a:r>
            <a:r>
              <a:rPr lang="en-US" b="1" baseline="0">
                <a:solidFill>
                  <a:schemeClr val="bg2">
                    <a:lumMod val="25000"/>
                  </a:schemeClr>
                </a:solidFill>
              </a:rPr>
              <a:t> Products</a:t>
            </a:r>
          </a:p>
        </c:rich>
      </c:tx>
      <c:layout>
        <c:manualLayout>
          <c:xMode val="edge"/>
          <c:yMode val="edge"/>
          <c:x val="0.38769444444444445"/>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F2C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Table'!$G$9</c:f>
              <c:strCache>
                <c:ptCount val="1"/>
                <c:pt idx="0">
                  <c:v>Total</c:v>
                </c:pt>
              </c:strCache>
            </c:strRef>
          </c:tx>
          <c:spPr>
            <a:solidFill>
              <a:srgbClr val="0F2C5A"/>
            </a:solidFill>
            <a:ln>
              <a:noFill/>
            </a:ln>
            <a:effectLst/>
          </c:spPr>
          <c:invertIfNegative val="0"/>
          <c:cat>
            <c:strRef>
              <c:f>'Pivot Table'!$F$10:$F$20</c:f>
              <c:strCache>
                <c:ptCount val="10"/>
                <c:pt idx="0">
                  <c:v>HP Laptop</c:v>
                </c:pt>
                <c:pt idx="1">
                  <c:v>iPhone 14</c:v>
                </c:pt>
                <c:pt idx="2">
                  <c:v>Samsung TV</c:v>
                </c:pt>
                <c:pt idx="3">
                  <c:v>Nike Sneakers</c:v>
                </c:pt>
                <c:pt idx="4">
                  <c:v>Standing Desk</c:v>
                </c:pt>
                <c:pt idx="5">
                  <c:v>Bluetooth Speaker</c:v>
                </c:pt>
                <c:pt idx="6">
                  <c:v>Office Chair</c:v>
                </c:pt>
                <c:pt idx="7">
                  <c:v>Backpack</c:v>
                </c:pt>
                <c:pt idx="8">
                  <c:v>Leather Bag</c:v>
                </c:pt>
                <c:pt idx="9">
                  <c:v>Wrist Watch</c:v>
                </c:pt>
              </c:strCache>
            </c:strRef>
          </c:cat>
          <c:val>
            <c:numRef>
              <c:f>'Pivot Table'!$G$10:$G$20</c:f>
              <c:numCache>
                <c:formatCode>General</c:formatCode>
                <c:ptCount val="10"/>
                <c:pt idx="0">
                  <c:v>2250</c:v>
                </c:pt>
                <c:pt idx="1">
                  <c:v>1800</c:v>
                </c:pt>
                <c:pt idx="2">
                  <c:v>1300</c:v>
                </c:pt>
                <c:pt idx="3">
                  <c:v>450</c:v>
                </c:pt>
                <c:pt idx="4">
                  <c:v>300</c:v>
                </c:pt>
                <c:pt idx="5">
                  <c:v>255</c:v>
                </c:pt>
                <c:pt idx="6">
                  <c:v>240</c:v>
                </c:pt>
                <c:pt idx="7">
                  <c:v>225</c:v>
                </c:pt>
                <c:pt idx="8">
                  <c:v>200</c:v>
                </c:pt>
                <c:pt idx="9">
                  <c:v>180</c:v>
                </c:pt>
              </c:numCache>
            </c:numRef>
          </c:val>
          <c:extLst>
            <c:ext xmlns:c16="http://schemas.microsoft.com/office/drawing/2014/chart" uri="{C3380CC4-5D6E-409C-BE32-E72D297353CC}">
              <c16:uniqueId val="{00000000-55D3-4CC2-A9BA-7DC73634D0D2}"/>
            </c:ext>
          </c:extLst>
        </c:ser>
        <c:dLbls>
          <c:showLegendKey val="0"/>
          <c:showVal val="0"/>
          <c:showCatName val="0"/>
          <c:showSerName val="0"/>
          <c:showPercent val="0"/>
          <c:showBubbleSize val="0"/>
        </c:dLbls>
        <c:gapWidth val="182"/>
        <c:axId val="1368178767"/>
        <c:axId val="1368175887"/>
      </c:barChart>
      <c:catAx>
        <c:axId val="136817876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175887"/>
        <c:crosses val="autoZero"/>
        <c:auto val="1"/>
        <c:lblAlgn val="ctr"/>
        <c:lblOffset val="100"/>
        <c:noMultiLvlLbl val="0"/>
      </c:catAx>
      <c:valAx>
        <c:axId val="13681758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178767"/>
        <c:crosses val="max"/>
        <c:crossBetween val="between"/>
      </c:valAx>
      <c:spPr>
        <a:noFill/>
        <a:ln>
          <a:solidFill>
            <a:schemeClr val="tx1">
              <a:lumMod val="15000"/>
              <a:lumOff val="85000"/>
              <a:alpha val="96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gradFill flip="none" rotWithShape="1">
        <a:gsLst>
          <a:gs pos="0">
            <a:schemeClr val="accent1">
              <a:lumMod val="67000"/>
            </a:schemeClr>
          </a:gs>
          <a:gs pos="48000">
            <a:schemeClr val="accent1">
              <a:lumMod val="97000"/>
              <a:lumOff val="3000"/>
            </a:schemeClr>
          </a:gs>
          <a:gs pos="100000">
            <a:schemeClr val="accent1">
              <a:lumMod val="50000"/>
            </a:schemeClr>
          </a:gs>
        </a:gsLst>
        <a:lin ang="16200000" scaled="1"/>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 Sales Project Master Dataset.xlsx]Pivot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r>
              <a:rPr lang="en-US" b="1">
                <a:solidFill>
                  <a:schemeClr val="bg2">
                    <a:lumMod val="25000"/>
                  </a:schemeClr>
                </a:solidFill>
              </a:rPr>
              <a:t>Top</a:t>
            </a:r>
            <a:r>
              <a:rPr lang="en-US" b="1" baseline="0">
                <a:solidFill>
                  <a:schemeClr val="bg2">
                    <a:lumMod val="25000"/>
                  </a:schemeClr>
                </a:solidFill>
              </a:rPr>
              <a:t> Customers</a:t>
            </a:r>
            <a:endParaRPr lang="en-US" b="1">
              <a:solidFill>
                <a:schemeClr val="bg2">
                  <a:lumMod val="25000"/>
                </a:schemeClr>
              </a:solidFill>
            </a:endParaRPr>
          </a:p>
        </c:rich>
      </c:tx>
      <c:layout>
        <c:manualLayout>
          <c:xMode val="edge"/>
          <c:yMode val="edge"/>
          <c:x val="0.37990966754155731"/>
          <c:y val="9.1571886847477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F2C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Table'!$G$1</c:f>
              <c:strCache>
                <c:ptCount val="1"/>
                <c:pt idx="0">
                  <c:v>Total</c:v>
                </c:pt>
              </c:strCache>
            </c:strRef>
          </c:tx>
          <c:spPr>
            <a:solidFill>
              <a:srgbClr val="0F2C5A"/>
            </a:solidFill>
            <a:ln>
              <a:noFill/>
            </a:ln>
            <a:effectLst/>
          </c:spPr>
          <c:invertIfNegative val="0"/>
          <c:cat>
            <c:strRef>
              <c:f>'Pivot Table'!$F$2:$F$7</c:f>
              <c:strCache>
                <c:ptCount val="5"/>
                <c:pt idx="0">
                  <c:v>Michael Ibrahim</c:v>
                </c:pt>
                <c:pt idx="1">
                  <c:v>David Okoro</c:v>
                </c:pt>
                <c:pt idx="2">
                  <c:v>Linda Okafor</c:v>
                </c:pt>
                <c:pt idx="3">
                  <c:v>Sarah Adebayo</c:v>
                </c:pt>
                <c:pt idx="4">
                  <c:v>Grace Mensah</c:v>
                </c:pt>
              </c:strCache>
            </c:strRef>
          </c:cat>
          <c:val>
            <c:numRef>
              <c:f>'Pivot Table'!$G$2:$G$7</c:f>
              <c:numCache>
                <c:formatCode>General</c:formatCode>
                <c:ptCount val="5"/>
                <c:pt idx="0">
                  <c:v>2335</c:v>
                </c:pt>
                <c:pt idx="1">
                  <c:v>1370</c:v>
                </c:pt>
                <c:pt idx="2">
                  <c:v>900</c:v>
                </c:pt>
                <c:pt idx="3">
                  <c:v>800</c:v>
                </c:pt>
                <c:pt idx="4">
                  <c:v>650</c:v>
                </c:pt>
              </c:numCache>
            </c:numRef>
          </c:val>
          <c:extLst>
            <c:ext xmlns:c16="http://schemas.microsoft.com/office/drawing/2014/chart" uri="{C3380CC4-5D6E-409C-BE32-E72D297353CC}">
              <c16:uniqueId val="{00000000-13F1-44EE-8C7A-AC8D5D8915C3}"/>
            </c:ext>
          </c:extLst>
        </c:ser>
        <c:dLbls>
          <c:showLegendKey val="0"/>
          <c:showVal val="0"/>
          <c:showCatName val="0"/>
          <c:showSerName val="0"/>
          <c:showPercent val="0"/>
          <c:showBubbleSize val="0"/>
        </c:dLbls>
        <c:gapWidth val="182"/>
        <c:axId val="1334088655"/>
        <c:axId val="1334086735"/>
      </c:barChart>
      <c:catAx>
        <c:axId val="133408865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086735"/>
        <c:crosses val="autoZero"/>
        <c:auto val="1"/>
        <c:lblAlgn val="ctr"/>
        <c:lblOffset val="100"/>
        <c:noMultiLvlLbl val="0"/>
      </c:catAx>
      <c:valAx>
        <c:axId val="13340867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088655"/>
        <c:crosses val="max"/>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gradFill flip="none" rotWithShape="1">
        <a:gsLst>
          <a:gs pos="0">
            <a:schemeClr val="accent1">
              <a:lumMod val="67000"/>
            </a:schemeClr>
          </a:gs>
          <a:gs pos="48000">
            <a:schemeClr val="accent1">
              <a:lumMod val="97000"/>
              <a:lumOff val="3000"/>
            </a:schemeClr>
          </a:gs>
          <a:gs pos="100000">
            <a:schemeClr val="accent1">
              <a:lumMod val="50000"/>
            </a:schemeClr>
          </a:gs>
        </a:gsLst>
        <a:lin ang="16200000" scaled="1"/>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 Sales Project Master Dataset.xlsx]Pivot Table!PivotTable7</c:name>
    <c:fmtId val="4"/>
  </c:pivotSource>
  <c:chart>
    <c:title>
      <c:tx>
        <c:rich>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r>
              <a:rPr lang="en-US" b="1"/>
              <a:t>Orders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F2C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051667030286212E-2"/>
          <c:y val="0.19375457122049344"/>
          <c:w val="0.89800458821740481"/>
          <c:h val="0.64712129218890135"/>
        </c:manualLayout>
      </c:layout>
      <c:barChart>
        <c:barDir val="col"/>
        <c:grouping val="clustered"/>
        <c:varyColors val="0"/>
        <c:ser>
          <c:idx val="0"/>
          <c:order val="0"/>
          <c:tx>
            <c:strRef>
              <c:f>'Pivot Table'!$D$13</c:f>
              <c:strCache>
                <c:ptCount val="1"/>
                <c:pt idx="0">
                  <c:v>Total</c:v>
                </c:pt>
              </c:strCache>
            </c:strRef>
          </c:tx>
          <c:spPr>
            <a:solidFill>
              <a:srgbClr val="0F2C5A"/>
            </a:solidFill>
            <a:ln>
              <a:noFill/>
            </a:ln>
            <a:effectLst/>
          </c:spPr>
          <c:invertIfNegative val="0"/>
          <c:cat>
            <c:strRef>
              <c:f>'Pivot Table'!$C$14:$C$20</c:f>
              <c:strCache>
                <c:ptCount val="6"/>
                <c:pt idx="0">
                  <c:v>Lagos</c:v>
                </c:pt>
                <c:pt idx="1">
                  <c:v>Kano</c:v>
                </c:pt>
                <c:pt idx="2">
                  <c:v>Abuja</c:v>
                </c:pt>
                <c:pt idx="3">
                  <c:v>Accra</c:v>
                </c:pt>
                <c:pt idx="4">
                  <c:v>Port Harcourt</c:v>
                </c:pt>
                <c:pt idx="5">
                  <c:v>Ibadan</c:v>
                </c:pt>
              </c:strCache>
            </c:strRef>
          </c:cat>
          <c:val>
            <c:numRef>
              <c:f>'Pivot Table'!$D$14:$D$20</c:f>
              <c:numCache>
                <c:formatCode>General</c:formatCode>
                <c:ptCount val="6"/>
                <c:pt idx="0">
                  <c:v>5</c:v>
                </c:pt>
                <c:pt idx="1">
                  <c:v>3</c:v>
                </c:pt>
                <c:pt idx="2">
                  <c:v>3</c:v>
                </c:pt>
                <c:pt idx="3">
                  <c:v>2</c:v>
                </c:pt>
                <c:pt idx="4">
                  <c:v>1</c:v>
                </c:pt>
                <c:pt idx="5">
                  <c:v>1</c:v>
                </c:pt>
              </c:numCache>
            </c:numRef>
          </c:val>
          <c:extLst>
            <c:ext xmlns:c16="http://schemas.microsoft.com/office/drawing/2014/chart" uri="{C3380CC4-5D6E-409C-BE32-E72D297353CC}">
              <c16:uniqueId val="{00000000-B94A-4239-8DA2-FEB78C968E3C}"/>
            </c:ext>
          </c:extLst>
        </c:ser>
        <c:dLbls>
          <c:showLegendKey val="0"/>
          <c:showVal val="0"/>
          <c:showCatName val="0"/>
          <c:showSerName val="0"/>
          <c:showPercent val="0"/>
          <c:showBubbleSize val="0"/>
        </c:dLbls>
        <c:gapWidth val="219"/>
        <c:overlap val="-27"/>
        <c:axId val="1672551023"/>
        <c:axId val="1672551503"/>
      </c:barChart>
      <c:catAx>
        <c:axId val="167255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25000"/>
                  </a:schemeClr>
                </a:solidFill>
                <a:latin typeface="+mn-lt"/>
                <a:ea typeface="+mn-ea"/>
                <a:cs typeface="+mn-cs"/>
              </a:defRPr>
            </a:pPr>
            <a:endParaRPr lang="en-US"/>
          </a:p>
        </c:txPr>
        <c:crossAx val="1672551503"/>
        <c:crosses val="autoZero"/>
        <c:auto val="1"/>
        <c:lblAlgn val="ctr"/>
        <c:lblOffset val="100"/>
        <c:noMultiLvlLbl val="0"/>
      </c:catAx>
      <c:valAx>
        <c:axId val="1672551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25000"/>
                  </a:schemeClr>
                </a:solidFill>
                <a:latin typeface="+mn-lt"/>
                <a:ea typeface="+mn-ea"/>
                <a:cs typeface="+mn-cs"/>
              </a:defRPr>
            </a:pPr>
            <a:endParaRPr lang="en-US"/>
          </a:p>
        </c:txPr>
        <c:crossAx val="1672551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gradFill flip="none" rotWithShape="1">
        <a:gsLst>
          <a:gs pos="0">
            <a:schemeClr val="accent1">
              <a:lumMod val="67000"/>
            </a:schemeClr>
          </a:gs>
          <a:gs pos="48000">
            <a:schemeClr val="accent1">
              <a:lumMod val="97000"/>
              <a:lumOff val="3000"/>
            </a:schemeClr>
          </a:gs>
          <a:gs pos="100000">
            <a:schemeClr val="accent1">
              <a:lumMod val="50000"/>
            </a:schemeClr>
          </a:gs>
        </a:gsLst>
        <a:lin ang="16200000" scaled="1"/>
        <a:tileRect/>
      </a:gradFill>
      <a:round/>
    </a:ln>
    <a:effectLst/>
  </c:spPr>
  <c:txPr>
    <a:bodyPr/>
    <a:lstStyle/>
    <a:p>
      <a:pPr>
        <a:defRPr>
          <a:solidFill>
            <a:schemeClr val="bg2">
              <a:lumMod val="2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 Sales Project Master Dataset.xlsx]Pivot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75000"/>
                    <a:lumOff val="25000"/>
                  </a:schemeClr>
                </a:solidFill>
                <a:effectLst/>
                <a:latin typeface="+mn-lt"/>
                <a:ea typeface="+mn-ea"/>
                <a:cs typeface="+mn-cs"/>
              </a:defRPr>
            </a:pPr>
            <a:r>
              <a:rPr lang="en-US" b="1">
                <a:solidFill>
                  <a:schemeClr val="tx1">
                    <a:lumMod val="75000"/>
                    <a:lumOff val="25000"/>
                  </a:schemeClr>
                </a:solidFill>
                <a:effectLst/>
              </a:rPr>
              <a:t>Revenue</a:t>
            </a:r>
            <a:r>
              <a:rPr lang="en-US" b="1" baseline="0">
                <a:solidFill>
                  <a:schemeClr val="tx1">
                    <a:lumMod val="75000"/>
                    <a:lumOff val="25000"/>
                  </a:schemeClr>
                </a:solidFill>
                <a:effectLst/>
              </a:rPr>
              <a:t> Trend Over Time</a:t>
            </a:r>
            <a:endParaRPr lang="en-US" b="1">
              <a:solidFill>
                <a:schemeClr val="tx1">
                  <a:lumMod val="75000"/>
                  <a:lumOff val="25000"/>
                </a:schemeClr>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75000"/>
                  <a:lumOff val="25000"/>
                </a:schemeClr>
              </a:solidFill>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0F2C5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470681288992363E-2"/>
          <c:y val="0.21467193090601527"/>
          <c:w val="0.86742171901198584"/>
          <c:h val="0.67759977332963417"/>
        </c:manualLayout>
      </c:layout>
      <c:lineChart>
        <c:grouping val="standard"/>
        <c:varyColors val="0"/>
        <c:ser>
          <c:idx val="0"/>
          <c:order val="0"/>
          <c:tx>
            <c:strRef>
              <c:f>'Pivot Table'!$D$1</c:f>
              <c:strCache>
                <c:ptCount val="1"/>
                <c:pt idx="0">
                  <c:v>Total</c:v>
                </c:pt>
              </c:strCache>
            </c:strRef>
          </c:tx>
          <c:spPr>
            <a:ln w="28575" cap="rnd">
              <a:solidFill>
                <a:srgbClr val="0F2C5A"/>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Table'!$C$2:$C$4</c:f>
              <c:strCache>
                <c:ptCount val="2"/>
                <c:pt idx="0">
                  <c:v>Sep</c:v>
                </c:pt>
                <c:pt idx="1">
                  <c:v>Oct</c:v>
                </c:pt>
              </c:strCache>
            </c:strRef>
          </c:cat>
          <c:val>
            <c:numRef>
              <c:f>'Pivot Table'!$D$2:$D$4</c:f>
              <c:numCache>
                <c:formatCode>General</c:formatCode>
                <c:ptCount val="2"/>
                <c:pt idx="0">
                  <c:v>4815</c:v>
                </c:pt>
                <c:pt idx="1">
                  <c:v>2385</c:v>
                </c:pt>
              </c:numCache>
            </c:numRef>
          </c:val>
          <c:smooth val="0"/>
          <c:extLst>
            <c:ext xmlns:c16="http://schemas.microsoft.com/office/drawing/2014/chart" uri="{C3380CC4-5D6E-409C-BE32-E72D297353CC}">
              <c16:uniqueId val="{00000000-1EAB-4C78-8D33-CFDF2E4AA4CE}"/>
            </c:ext>
          </c:extLst>
        </c:ser>
        <c:dLbls>
          <c:dLblPos val="t"/>
          <c:showLegendKey val="0"/>
          <c:showVal val="1"/>
          <c:showCatName val="0"/>
          <c:showSerName val="0"/>
          <c:showPercent val="0"/>
          <c:showBubbleSize val="0"/>
        </c:dLbls>
        <c:smooth val="0"/>
        <c:axId val="251394800"/>
        <c:axId val="590471744"/>
      </c:lineChart>
      <c:catAx>
        <c:axId val="25139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471744"/>
        <c:crosses val="autoZero"/>
        <c:auto val="1"/>
        <c:lblAlgn val="ctr"/>
        <c:lblOffset val="100"/>
        <c:noMultiLvlLbl val="0"/>
      </c:catAx>
      <c:valAx>
        <c:axId val="590471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394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sq" cmpd="sng" algn="ctr">
      <a:gradFill flip="none" rotWithShape="1">
        <a:gsLst>
          <a:gs pos="0">
            <a:schemeClr val="accent1">
              <a:lumMod val="67000"/>
            </a:schemeClr>
          </a:gs>
          <a:gs pos="48000">
            <a:schemeClr val="accent1">
              <a:lumMod val="97000"/>
              <a:lumOff val="3000"/>
            </a:schemeClr>
          </a:gs>
          <a:gs pos="100000">
            <a:schemeClr val="accent1">
              <a:lumMod val="50000"/>
            </a:schemeClr>
          </a:gs>
        </a:gsLst>
        <a:lin ang="16200000" scaled="1"/>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 Sales Project Master Dataset.xlsx]Pivot Table!PivotTable4</c:name>
    <c:fmtId val="4"/>
  </c:pivotSource>
  <c:chart>
    <c:title>
      <c:tx>
        <c:rich>
          <a:bodyPr rot="0" spcFirstLastPara="1" vertOverflow="ellipsis" vert="horz" wrap="square" anchor="ctr" anchorCtr="1"/>
          <a:lstStyle/>
          <a:p>
            <a:pPr>
              <a:defRPr sz="1400" b="0" i="0" u="none" strike="noStrike" kern="1200" spc="0" baseline="0">
                <a:solidFill>
                  <a:schemeClr val="bg2">
                    <a:lumMod val="25000"/>
                  </a:schemeClr>
                </a:solidFill>
                <a:effectLst/>
                <a:latin typeface="+mn-lt"/>
                <a:ea typeface="+mn-ea"/>
                <a:cs typeface="+mn-cs"/>
              </a:defRPr>
            </a:pPr>
            <a:r>
              <a:rPr lang="en-US" b="1">
                <a:solidFill>
                  <a:schemeClr val="bg2">
                    <a:lumMod val="25000"/>
                  </a:schemeClr>
                </a:solidFill>
                <a:effectLst/>
              </a:rPr>
              <a:t>Revenue</a:t>
            </a:r>
            <a:r>
              <a:rPr lang="en-US" b="1" baseline="0">
                <a:solidFill>
                  <a:schemeClr val="bg2">
                    <a:lumMod val="25000"/>
                  </a:schemeClr>
                </a:solidFill>
                <a:effectLst/>
              </a:rPr>
              <a:t> By Category</a:t>
            </a:r>
            <a:endParaRPr lang="en-US" b="1">
              <a:solidFill>
                <a:schemeClr val="bg2">
                  <a:lumMod val="25000"/>
                </a:schemeClr>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25000"/>
                </a:schemeClr>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F2C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Table'!$D$6</c:f>
              <c:strCache>
                <c:ptCount val="1"/>
                <c:pt idx="0">
                  <c:v>Total</c:v>
                </c:pt>
              </c:strCache>
            </c:strRef>
          </c:tx>
          <c:spPr>
            <a:solidFill>
              <a:srgbClr val="0F2C5A"/>
            </a:solidFill>
            <a:ln>
              <a:noFill/>
            </a:ln>
            <a:effectLst/>
          </c:spPr>
          <c:invertIfNegative val="0"/>
          <c:cat>
            <c:strRef>
              <c:f>'Pivot Table'!$C$7:$C$11</c:f>
              <c:strCache>
                <c:ptCount val="4"/>
                <c:pt idx="0">
                  <c:v>Electronics</c:v>
                </c:pt>
                <c:pt idx="1">
                  <c:v>Fashion</c:v>
                </c:pt>
                <c:pt idx="2">
                  <c:v>Furniture</c:v>
                </c:pt>
                <c:pt idx="3">
                  <c:v>Accessories</c:v>
                </c:pt>
              </c:strCache>
            </c:strRef>
          </c:cat>
          <c:val>
            <c:numRef>
              <c:f>'Pivot Table'!$D$7:$D$11</c:f>
              <c:numCache>
                <c:formatCode>General</c:formatCode>
                <c:ptCount val="4"/>
                <c:pt idx="0">
                  <c:v>5605</c:v>
                </c:pt>
                <c:pt idx="1">
                  <c:v>875</c:v>
                </c:pt>
                <c:pt idx="2">
                  <c:v>540</c:v>
                </c:pt>
                <c:pt idx="3">
                  <c:v>180</c:v>
                </c:pt>
              </c:numCache>
            </c:numRef>
          </c:val>
          <c:extLst>
            <c:ext xmlns:c16="http://schemas.microsoft.com/office/drawing/2014/chart" uri="{C3380CC4-5D6E-409C-BE32-E72D297353CC}">
              <c16:uniqueId val="{00000000-CAE1-4FBE-8BC0-8735321F087A}"/>
            </c:ext>
          </c:extLst>
        </c:ser>
        <c:dLbls>
          <c:showLegendKey val="0"/>
          <c:showVal val="0"/>
          <c:showCatName val="0"/>
          <c:showSerName val="0"/>
          <c:showPercent val="0"/>
          <c:showBubbleSize val="0"/>
        </c:dLbls>
        <c:gapWidth val="219"/>
        <c:overlap val="-27"/>
        <c:axId val="948456864"/>
        <c:axId val="948457344"/>
      </c:barChart>
      <c:catAx>
        <c:axId val="94845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457344"/>
        <c:crosses val="autoZero"/>
        <c:auto val="1"/>
        <c:lblAlgn val="ctr"/>
        <c:lblOffset val="100"/>
        <c:noMultiLvlLbl val="0"/>
      </c:catAx>
      <c:valAx>
        <c:axId val="9484573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456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gradFill flip="none" rotWithShape="1">
        <a:gsLst>
          <a:gs pos="0">
            <a:schemeClr val="accent1">
              <a:lumMod val="67000"/>
            </a:schemeClr>
          </a:gs>
          <a:gs pos="40000">
            <a:schemeClr val="accent1">
              <a:lumMod val="97000"/>
              <a:lumOff val="3000"/>
            </a:schemeClr>
          </a:gs>
          <a:gs pos="97000">
            <a:schemeClr val="accent1">
              <a:lumMod val="50000"/>
            </a:schemeClr>
          </a:gs>
        </a:gsLst>
        <a:lin ang="16200000" scaled="1"/>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 Sales Project Master Dataset.xlsx]Pivot Table!PivotTable8</c:name>
    <c:fmtId val="5"/>
  </c:pivotSource>
  <c:chart>
    <c:title>
      <c:tx>
        <c:rich>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r>
              <a:rPr lang="en-US" b="1">
                <a:solidFill>
                  <a:schemeClr val="bg2">
                    <a:lumMod val="25000"/>
                  </a:schemeClr>
                </a:solidFill>
              </a:rPr>
              <a:t>Order</a:t>
            </a:r>
            <a:r>
              <a:rPr lang="en-US" b="1" baseline="0">
                <a:solidFill>
                  <a:schemeClr val="bg2">
                    <a:lumMod val="25000"/>
                  </a:schemeClr>
                </a:solidFill>
              </a:rPr>
              <a:t> Volume by Month</a:t>
            </a:r>
            <a:endParaRPr lang="en-US" b="1">
              <a:solidFill>
                <a:schemeClr val="bg2">
                  <a:lumMod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endParaRPr lang="en-US"/>
        </a:p>
      </c:txPr>
    </c:title>
    <c:autoTitleDeleted val="0"/>
    <c:pivotFmts>
      <c:pivotFmt>
        <c:idx val="0"/>
        <c:spPr>
          <a:solidFill>
            <a:srgbClr val="0F2C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F2C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F2C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05609855612597"/>
          <c:y val="0.19486111111111112"/>
          <c:w val="0.89194390144387403"/>
          <c:h val="0.72125801983085447"/>
        </c:manualLayout>
      </c:layout>
      <c:barChart>
        <c:barDir val="col"/>
        <c:grouping val="clustered"/>
        <c:varyColors val="0"/>
        <c:ser>
          <c:idx val="0"/>
          <c:order val="0"/>
          <c:tx>
            <c:strRef>
              <c:f>'Pivot Table'!$J$5</c:f>
              <c:strCache>
                <c:ptCount val="1"/>
                <c:pt idx="0">
                  <c:v>Total</c:v>
                </c:pt>
              </c:strCache>
            </c:strRef>
          </c:tx>
          <c:spPr>
            <a:solidFill>
              <a:srgbClr val="0F2C5A"/>
            </a:solidFill>
            <a:ln>
              <a:noFill/>
            </a:ln>
            <a:effectLst/>
          </c:spPr>
          <c:invertIfNegative val="0"/>
          <c:cat>
            <c:strRef>
              <c:f>'Pivot Table'!$I$6:$I$8</c:f>
              <c:strCache>
                <c:ptCount val="2"/>
                <c:pt idx="0">
                  <c:v>Sep</c:v>
                </c:pt>
                <c:pt idx="1">
                  <c:v>Oct</c:v>
                </c:pt>
              </c:strCache>
            </c:strRef>
          </c:cat>
          <c:val>
            <c:numRef>
              <c:f>'Pivot Table'!$J$6:$J$8</c:f>
              <c:numCache>
                <c:formatCode>General</c:formatCode>
                <c:ptCount val="2"/>
                <c:pt idx="0">
                  <c:v>11</c:v>
                </c:pt>
                <c:pt idx="1">
                  <c:v>4</c:v>
                </c:pt>
              </c:numCache>
            </c:numRef>
          </c:val>
          <c:extLst>
            <c:ext xmlns:c16="http://schemas.microsoft.com/office/drawing/2014/chart" uri="{C3380CC4-5D6E-409C-BE32-E72D297353CC}">
              <c16:uniqueId val="{00000000-6D19-481F-9DB5-E00A8C70D750}"/>
            </c:ext>
          </c:extLst>
        </c:ser>
        <c:dLbls>
          <c:showLegendKey val="0"/>
          <c:showVal val="0"/>
          <c:showCatName val="0"/>
          <c:showSerName val="0"/>
          <c:showPercent val="0"/>
          <c:showBubbleSize val="0"/>
        </c:dLbls>
        <c:gapWidth val="219"/>
        <c:overlap val="-27"/>
        <c:axId val="1489933855"/>
        <c:axId val="1489934335"/>
      </c:barChart>
      <c:catAx>
        <c:axId val="148993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934335"/>
        <c:crosses val="autoZero"/>
        <c:auto val="1"/>
        <c:lblAlgn val="ctr"/>
        <c:lblOffset val="100"/>
        <c:noMultiLvlLbl val="0"/>
      </c:catAx>
      <c:valAx>
        <c:axId val="14899343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933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gradFill flip="none" rotWithShape="1">
        <a:gsLst>
          <a:gs pos="0">
            <a:schemeClr val="accent1">
              <a:lumMod val="67000"/>
            </a:schemeClr>
          </a:gs>
          <a:gs pos="48000">
            <a:schemeClr val="accent1">
              <a:lumMod val="97000"/>
              <a:lumOff val="3000"/>
            </a:schemeClr>
          </a:gs>
          <a:gs pos="100000">
            <a:schemeClr val="accent1">
              <a:lumMod val="50000"/>
            </a:schemeClr>
          </a:gs>
        </a:gsLst>
        <a:lin ang="16200000" scaled="1"/>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image" Target="../media/image1.JP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14</xdr:row>
      <xdr:rowOff>76200</xdr:rowOff>
    </xdr:to>
    <xdr:graphicFrame macro="">
      <xdr:nvGraphicFramePr>
        <xdr:cNvPr id="2" name="Chart 1">
          <a:extLst>
            <a:ext uri="{FF2B5EF4-FFF2-40B4-BE49-F238E27FC236}">
              <a16:creationId xmlns:a16="http://schemas.microsoft.com/office/drawing/2014/main" id="{9DE9C6A4-8D41-4585-8C7A-D74BE8A3F1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0</xdr:row>
      <xdr:rowOff>0</xdr:rowOff>
    </xdr:from>
    <xdr:to>
      <xdr:col>15</xdr:col>
      <xdr:colOff>304800</xdr:colOff>
      <xdr:row>14</xdr:row>
      <xdr:rowOff>76200</xdr:rowOff>
    </xdr:to>
    <xdr:graphicFrame macro="">
      <xdr:nvGraphicFramePr>
        <xdr:cNvPr id="3" name="Chart 2">
          <a:extLst>
            <a:ext uri="{FF2B5EF4-FFF2-40B4-BE49-F238E27FC236}">
              <a16:creationId xmlns:a16="http://schemas.microsoft.com/office/drawing/2014/main" id="{B0E05D08-4D19-4E6D-ABE5-49B20E14FD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0</xdr:rowOff>
    </xdr:from>
    <xdr:to>
      <xdr:col>7</xdr:col>
      <xdr:colOff>304800</xdr:colOff>
      <xdr:row>30</xdr:row>
      <xdr:rowOff>76200</xdr:rowOff>
    </xdr:to>
    <xdr:graphicFrame macro="">
      <xdr:nvGraphicFramePr>
        <xdr:cNvPr id="4" name="Chart 3">
          <a:extLst>
            <a:ext uri="{FF2B5EF4-FFF2-40B4-BE49-F238E27FC236}">
              <a16:creationId xmlns:a16="http://schemas.microsoft.com/office/drawing/2014/main" id="{2BAFD172-AA9F-4E01-9358-994CFCF330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5" name="Chart 4">
          <a:extLst>
            <a:ext uri="{FF2B5EF4-FFF2-40B4-BE49-F238E27FC236}">
              <a16:creationId xmlns:a16="http://schemas.microsoft.com/office/drawing/2014/main" id="{08605CAC-EC7F-48EA-AD1D-091212CDF4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32</xdr:row>
      <xdr:rowOff>0</xdr:rowOff>
    </xdr:from>
    <xdr:to>
      <xdr:col>7</xdr:col>
      <xdr:colOff>304800</xdr:colOff>
      <xdr:row>46</xdr:row>
      <xdr:rowOff>76200</xdr:rowOff>
    </xdr:to>
    <xdr:graphicFrame macro="">
      <xdr:nvGraphicFramePr>
        <xdr:cNvPr id="6" name="Chart 5">
          <a:extLst>
            <a:ext uri="{FF2B5EF4-FFF2-40B4-BE49-F238E27FC236}">
              <a16:creationId xmlns:a16="http://schemas.microsoft.com/office/drawing/2014/main" id="{B5845A65-82CA-4196-81F4-3D0A733158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0</xdr:colOff>
      <xdr:row>32</xdr:row>
      <xdr:rowOff>0</xdr:rowOff>
    </xdr:from>
    <xdr:to>
      <xdr:col>15</xdr:col>
      <xdr:colOff>447675</xdr:colOff>
      <xdr:row>46</xdr:row>
      <xdr:rowOff>76200</xdr:rowOff>
    </xdr:to>
    <xdr:graphicFrame macro="">
      <xdr:nvGraphicFramePr>
        <xdr:cNvPr id="7" name="Chart 6">
          <a:extLst>
            <a:ext uri="{FF2B5EF4-FFF2-40B4-BE49-F238E27FC236}">
              <a16:creationId xmlns:a16="http://schemas.microsoft.com/office/drawing/2014/main" id="{A80B9FB6-4FCD-48FC-98D2-F5E3C1CA2C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0</xdr:row>
      <xdr:rowOff>19050</xdr:rowOff>
    </xdr:from>
    <xdr:to>
      <xdr:col>22</xdr:col>
      <xdr:colOff>561975</xdr:colOff>
      <xdr:row>3</xdr:row>
      <xdr:rowOff>38100</xdr:rowOff>
    </xdr:to>
    <xdr:sp macro="" textlink="">
      <xdr:nvSpPr>
        <xdr:cNvPr id="2" name="Rectangle 1">
          <a:extLst>
            <a:ext uri="{FF2B5EF4-FFF2-40B4-BE49-F238E27FC236}">
              <a16:creationId xmlns:a16="http://schemas.microsoft.com/office/drawing/2014/main" id="{CE9D9E61-2749-508A-F869-77C369403C65}"/>
            </a:ext>
          </a:extLst>
        </xdr:cNvPr>
        <xdr:cNvSpPr/>
      </xdr:nvSpPr>
      <xdr:spPr>
        <a:xfrm>
          <a:off x="19050" y="19050"/>
          <a:ext cx="13954125" cy="590550"/>
        </a:xfrm>
        <a:prstGeom prst="rect">
          <a:avLst/>
        </a:prstGeom>
        <a:solidFill>
          <a:srgbClr val="0F2C5A"/>
        </a:solidFill>
        <a:ln>
          <a:solidFill>
            <a:srgbClr val="0F2C5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47624</xdr:colOff>
      <xdr:row>0</xdr:row>
      <xdr:rowOff>66675</xdr:rowOff>
    </xdr:from>
    <xdr:to>
      <xdr:col>15</xdr:col>
      <xdr:colOff>31750</xdr:colOff>
      <xdr:row>2</xdr:row>
      <xdr:rowOff>161925</xdr:rowOff>
    </xdr:to>
    <xdr:sp macro="" textlink="">
      <xdr:nvSpPr>
        <xdr:cNvPr id="4" name="TextBox 3">
          <a:extLst>
            <a:ext uri="{FF2B5EF4-FFF2-40B4-BE49-F238E27FC236}">
              <a16:creationId xmlns:a16="http://schemas.microsoft.com/office/drawing/2014/main" id="{EF9438E8-542E-34F1-5797-CDBA68EFC32D}"/>
            </a:ext>
          </a:extLst>
        </xdr:cNvPr>
        <xdr:cNvSpPr txBox="1"/>
      </xdr:nvSpPr>
      <xdr:spPr>
        <a:xfrm>
          <a:off x="47624" y="66675"/>
          <a:ext cx="9191626" cy="476250"/>
        </a:xfrm>
        <a:prstGeom prst="rect">
          <a:avLst/>
        </a:prstGeom>
        <a:solidFill>
          <a:srgbClr val="0F2C5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bg1"/>
              </a:solidFill>
              <a:latin typeface="Segoe UI" panose="020B0502040204020203" pitchFamily="34" charset="0"/>
              <a:cs typeface="Segoe UI" panose="020B0502040204020203" pitchFamily="34" charset="0"/>
            </a:rPr>
            <a:t>E-Commerce Sales Dashboard -</a:t>
          </a:r>
          <a:r>
            <a:rPr lang="en-US" sz="2400" b="1" baseline="0">
              <a:solidFill>
                <a:schemeClr val="bg1"/>
              </a:solidFill>
              <a:latin typeface="Segoe UI" panose="020B0502040204020203" pitchFamily="34" charset="0"/>
              <a:cs typeface="Segoe UI" panose="020B0502040204020203" pitchFamily="34" charset="0"/>
            </a:rPr>
            <a:t> 2025 Performance Overview</a:t>
          </a:r>
          <a:endParaRPr lang="en-US" sz="24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0</xdr:col>
      <xdr:colOff>9526</xdr:colOff>
      <xdr:row>3</xdr:row>
      <xdr:rowOff>28574</xdr:rowOff>
    </xdr:from>
    <xdr:to>
      <xdr:col>36</xdr:col>
      <xdr:colOff>31750</xdr:colOff>
      <xdr:row>52</xdr:row>
      <xdr:rowOff>114300</xdr:rowOff>
    </xdr:to>
    <xdr:pic>
      <xdr:nvPicPr>
        <xdr:cNvPr id="6" name="Picture 5">
          <a:extLst>
            <a:ext uri="{FF2B5EF4-FFF2-40B4-BE49-F238E27FC236}">
              <a16:creationId xmlns:a16="http://schemas.microsoft.com/office/drawing/2014/main" id="{2843AF84-3D98-55B7-1BF8-BAA78255424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526" y="600074"/>
          <a:ext cx="21806459" cy="9420226"/>
        </a:xfrm>
        <a:prstGeom prst="rect">
          <a:avLst/>
        </a:prstGeom>
        <a:effectLst>
          <a:outerShdw blurRad="50800" dist="38100" dir="2700000" algn="tl" rotWithShape="0">
            <a:schemeClr val="bg2">
              <a:lumMod val="25000"/>
              <a:alpha val="40000"/>
            </a:schemeClr>
          </a:outerShdw>
        </a:effectLst>
      </xdr:spPr>
    </xdr:pic>
    <xdr:clientData/>
  </xdr:twoCellAnchor>
  <xdr:twoCellAnchor>
    <xdr:from>
      <xdr:col>0</xdr:col>
      <xdr:colOff>78583</xdr:colOff>
      <xdr:row>23</xdr:row>
      <xdr:rowOff>50006</xdr:rowOff>
    </xdr:from>
    <xdr:to>
      <xdr:col>19</xdr:col>
      <xdr:colOff>157160</xdr:colOff>
      <xdr:row>35</xdr:row>
      <xdr:rowOff>126207</xdr:rowOff>
    </xdr:to>
    <xdr:grpSp>
      <xdr:nvGrpSpPr>
        <xdr:cNvPr id="44" name="Group 43">
          <a:extLst>
            <a:ext uri="{FF2B5EF4-FFF2-40B4-BE49-F238E27FC236}">
              <a16:creationId xmlns:a16="http://schemas.microsoft.com/office/drawing/2014/main" id="{150E5452-9DE0-3100-F284-A5AE69C206D6}"/>
            </a:ext>
          </a:extLst>
        </xdr:cNvPr>
        <xdr:cNvGrpSpPr/>
      </xdr:nvGrpSpPr>
      <xdr:grpSpPr>
        <a:xfrm>
          <a:off x="78583" y="4431506"/>
          <a:ext cx="11540327" cy="2362201"/>
          <a:chOff x="78583" y="4467224"/>
          <a:chExt cx="11615733" cy="2362201"/>
        </a:xfrm>
      </xdr:grpSpPr>
      <xdr:graphicFrame macro="">
        <xdr:nvGraphicFramePr>
          <xdr:cNvPr id="8" name="Chart 7">
            <a:extLst>
              <a:ext uri="{FF2B5EF4-FFF2-40B4-BE49-F238E27FC236}">
                <a16:creationId xmlns:a16="http://schemas.microsoft.com/office/drawing/2014/main" id="{D71716ED-A518-4E19-8BF4-3B39A1308485}"/>
              </a:ext>
            </a:extLst>
          </xdr:cNvPr>
          <xdr:cNvGraphicFramePr>
            <a:graphicFrameLocks/>
          </xdr:cNvGraphicFramePr>
        </xdr:nvGraphicFramePr>
        <xdr:xfrm>
          <a:off x="78583" y="4467224"/>
          <a:ext cx="3757613" cy="2362201"/>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3" name="Chart 12">
            <a:extLst>
              <a:ext uri="{FF2B5EF4-FFF2-40B4-BE49-F238E27FC236}">
                <a16:creationId xmlns:a16="http://schemas.microsoft.com/office/drawing/2014/main" id="{B7DB2E45-09BB-4408-9171-05797B13F6D2}"/>
              </a:ext>
            </a:extLst>
          </xdr:cNvPr>
          <xdr:cNvGraphicFramePr>
            <a:graphicFrameLocks/>
          </xdr:cNvGraphicFramePr>
        </xdr:nvGraphicFramePr>
        <xdr:xfrm>
          <a:off x="4008835" y="4467224"/>
          <a:ext cx="3748087" cy="2352676"/>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5" name="Chart 14">
            <a:extLst>
              <a:ext uri="{FF2B5EF4-FFF2-40B4-BE49-F238E27FC236}">
                <a16:creationId xmlns:a16="http://schemas.microsoft.com/office/drawing/2014/main" id="{8A05A2EB-2E46-4449-A7B8-A1188133912A}"/>
              </a:ext>
            </a:extLst>
          </xdr:cNvPr>
          <xdr:cNvGraphicFramePr>
            <a:graphicFrameLocks/>
          </xdr:cNvGraphicFramePr>
        </xdr:nvGraphicFramePr>
        <xdr:xfrm>
          <a:off x="7929560" y="4467224"/>
          <a:ext cx="3764756" cy="2352676"/>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editAs="oneCell">
    <xdr:from>
      <xdr:col>19</xdr:col>
      <xdr:colOff>402167</xdr:colOff>
      <xdr:row>19</xdr:row>
      <xdr:rowOff>157691</xdr:rowOff>
    </xdr:from>
    <xdr:to>
      <xdr:col>22</xdr:col>
      <xdr:colOff>338668</xdr:colOff>
      <xdr:row>27</xdr:row>
      <xdr:rowOff>5291</xdr:rowOff>
    </xdr:to>
    <mc:AlternateContent xmlns:mc="http://schemas.openxmlformats.org/markup-compatibility/2006" xmlns:tsle="http://schemas.microsoft.com/office/drawing/2012/timeslicer">
      <mc:Choice Requires="tsle">
        <xdr:graphicFrame macro="">
          <xdr:nvGraphicFramePr>
            <xdr:cNvPr id="18" name="order_date">
              <a:extLst>
                <a:ext uri="{FF2B5EF4-FFF2-40B4-BE49-F238E27FC236}">
                  <a16:creationId xmlns:a16="http://schemas.microsoft.com/office/drawing/2014/main" id="{36A6BC89-FF0C-E48A-D15B-FF9DE633AD53}"/>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1863917" y="3777191"/>
              <a:ext cx="1746251"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412750</xdr:colOff>
      <xdr:row>3</xdr:row>
      <xdr:rowOff>132293</xdr:rowOff>
    </xdr:from>
    <xdr:to>
      <xdr:col>22</xdr:col>
      <xdr:colOff>400050</xdr:colOff>
      <xdr:row>10</xdr:row>
      <xdr:rowOff>74085</xdr:rowOff>
    </xdr:to>
    <mc:AlternateContent xmlns:mc="http://schemas.openxmlformats.org/markup-compatibility/2006" xmlns:a14="http://schemas.microsoft.com/office/drawing/2010/main">
      <mc:Choice Requires="a14">
        <xdr:graphicFrame macro="">
          <xdr:nvGraphicFramePr>
            <xdr:cNvPr id="19" name="category">
              <a:extLst>
                <a:ext uri="{FF2B5EF4-FFF2-40B4-BE49-F238E27FC236}">
                  <a16:creationId xmlns:a16="http://schemas.microsoft.com/office/drawing/2014/main" id="{431C99B1-29EE-756E-20B8-843009110CC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874500" y="703793"/>
              <a:ext cx="1797050" cy="12752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402163</xdr:colOff>
      <xdr:row>10</xdr:row>
      <xdr:rowOff>132292</xdr:rowOff>
    </xdr:from>
    <xdr:to>
      <xdr:col>22</xdr:col>
      <xdr:colOff>389463</xdr:colOff>
      <xdr:row>19</xdr:row>
      <xdr:rowOff>74083</xdr:rowOff>
    </xdr:to>
    <mc:AlternateContent xmlns:mc="http://schemas.openxmlformats.org/markup-compatibility/2006" xmlns:a14="http://schemas.microsoft.com/office/drawing/2010/main">
      <mc:Choice Requires="a14">
        <xdr:graphicFrame macro="">
          <xdr:nvGraphicFramePr>
            <xdr:cNvPr id="20" name="product_name">
              <a:extLst>
                <a:ext uri="{FF2B5EF4-FFF2-40B4-BE49-F238E27FC236}">
                  <a16:creationId xmlns:a16="http://schemas.microsoft.com/office/drawing/2014/main" id="{025FDF00-F7DA-C590-ED22-AD7B36B130B1}"/>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11863913" y="2037292"/>
              <a:ext cx="1797050" cy="16562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412747</xdr:colOff>
      <xdr:row>27</xdr:row>
      <xdr:rowOff>100542</xdr:rowOff>
    </xdr:from>
    <xdr:to>
      <xdr:col>22</xdr:col>
      <xdr:colOff>400047</xdr:colOff>
      <xdr:row>35</xdr:row>
      <xdr:rowOff>169333</xdr:rowOff>
    </xdr:to>
    <mc:AlternateContent xmlns:mc="http://schemas.openxmlformats.org/markup-compatibility/2006" xmlns:a14="http://schemas.microsoft.com/office/drawing/2010/main">
      <mc:Choice Requires="a14">
        <xdr:graphicFrame macro="">
          <xdr:nvGraphicFramePr>
            <xdr:cNvPr id="21" name="city">
              <a:extLst>
                <a:ext uri="{FF2B5EF4-FFF2-40B4-BE49-F238E27FC236}">
                  <a16:creationId xmlns:a16="http://schemas.microsoft.com/office/drawing/2014/main" id="{577080A3-C3CF-EB79-2CE4-702337D6785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874497" y="5244042"/>
              <a:ext cx="1797050" cy="15927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68795</xdr:colOff>
      <xdr:row>9</xdr:row>
      <xdr:rowOff>102662</xdr:rowOff>
    </xdr:from>
    <xdr:to>
      <xdr:col>19</xdr:col>
      <xdr:colOff>309539</xdr:colOff>
      <xdr:row>22</xdr:row>
      <xdr:rowOff>3</xdr:rowOff>
    </xdr:to>
    <xdr:grpSp>
      <xdr:nvGrpSpPr>
        <xdr:cNvPr id="43" name="Group 42">
          <a:extLst>
            <a:ext uri="{FF2B5EF4-FFF2-40B4-BE49-F238E27FC236}">
              <a16:creationId xmlns:a16="http://schemas.microsoft.com/office/drawing/2014/main" id="{76BB3903-A262-0210-390C-954195C43B88}"/>
            </a:ext>
          </a:extLst>
        </xdr:cNvPr>
        <xdr:cNvGrpSpPr/>
      </xdr:nvGrpSpPr>
      <xdr:grpSpPr>
        <a:xfrm>
          <a:off x="68795" y="1817162"/>
          <a:ext cx="11702494" cy="2373841"/>
          <a:chOff x="68795" y="2007658"/>
          <a:chExt cx="11777900" cy="2373841"/>
        </a:xfrm>
      </xdr:grpSpPr>
      <xdr:graphicFrame macro="">
        <xdr:nvGraphicFramePr>
          <xdr:cNvPr id="3" name="Chart 2">
            <a:extLst>
              <a:ext uri="{FF2B5EF4-FFF2-40B4-BE49-F238E27FC236}">
                <a16:creationId xmlns:a16="http://schemas.microsoft.com/office/drawing/2014/main" id="{C3E7B6ED-0978-475E-BA5B-20AF68BDEF67}"/>
              </a:ext>
            </a:extLst>
          </xdr:cNvPr>
          <xdr:cNvGraphicFramePr>
            <a:graphicFrameLocks/>
          </xdr:cNvGraphicFramePr>
        </xdr:nvGraphicFramePr>
        <xdr:xfrm>
          <a:off x="68795" y="2007658"/>
          <a:ext cx="3839105" cy="2371726"/>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5" name="Chart 4">
            <a:extLst>
              <a:ext uri="{FF2B5EF4-FFF2-40B4-BE49-F238E27FC236}">
                <a16:creationId xmlns:a16="http://schemas.microsoft.com/office/drawing/2014/main" id="{BC701CEB-CFB6-4D0C-9EC2-9C9DE999C6F6}"/>
              </a:ext>
            </a:extLst>
          </xdr:cNvPr>
          <xdr:cNvGraphicFramePr>
            <a:graphicFrameLocks/>
          </xdr:cNvGraphicFramePr>
        </xdr:nvGraphicFramePr>
        <xdr:xfrm>
          <a:off x="4049311" y="2007658"/>
          <a:ext cx="3831688" cy="2362201"/>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40" name="Chart 39">
            <a:extLst>
              <a:ext uri="{FF2B5EF4-FFF2-40B4-BE49-F238E27FC236}">
                <a16:creationId xmlns:a16="http://schemas.microsoft.com/office/drawing/2014/main" id="{264F66FC-A597-45FF-8BAC-6C335F2C1CCB}"/>
              </a:ext>
            </a:extLst>
          </xdr:cNvPr>
          <xdr:cNvGraphicFramePr>
            <a:graphicFrameLocks/>
          </xdr:cNvGraphicFramePr>
        </xdr:nvGraphicFramePr>
        <xdr:xfrm>
          <a:off x="8022410" y="2007658"/>
          <a:ext cx="3824285" cy="2373841"/>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19</xdr:col>
      <xdr:colOff>222250</xdr:colOff>
      <xdr:row>0</xdr:row>
      <xdr:rowOff>63500</xdr:rowOff>
    </xdr:from>
    <xdr:to>
      <xdr:col>22</xdr:col>
      <xdr:colOff>497417</xdr:colOff>
      <xdr:row>1</xdr:row>
      <xdr:rowOff>84667</xdr:rowOff>
    </xdr:to>
    <xdr:sp macro="" textlink="">
      <xdr:nvSpPr>
        <xdr:cNvPr id="42" name="TextBox 41">
          <a:extLst>
            <a:ext uri="{FF2B5EF4-FFF2-40B4-BE49-F238E27FC236}">
              <a16:creationId xmlns:a16="http://schemas.microsoft.com/office/drawing/2014/main" id="{C3D1BD93-C575-B68C-2A3A-7540E4E56C5A}"/>
            </a:ext>
          </a:extLst>
        </xdr:cNvPr>
        <xdr:cNvSpPr txBox="1"/>
      </xdr:nvSpPr>
      <xdr:spPr>
        <a:xfrm>
          <a:off x="11885083" y="63500"/>
          <a:ext cx="2116667" cy="211667"/>
        </a:xfrm>
        <a:prstGeom prst="rect">
          <a:avLst/>
        </a:prstGeom>
        <a:solidFill>
          <a:srgbClr val="0F2C5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Designed by: Okache </a:t>
          </a:r>
          <a:r>
            <a:rPr lang="en-US" sz="1200" b="1">
              <a:solidFill>
                <a:schemeClr val="bg1"/>
              </a:solidFill>
            </a:rPr>
            <a:t>God'stime</a:t>
          </a:r>
        </a:p>
      </xdr:txBody>
    </xdr:sp>
    <xdr:clientData/>
  </xdr:twoCellAnchor>
  <xdr:twoCellAnchor>
    <xdr:from>
      <xdr:col>0</xdr:col>
      <xdr:colOff>65554</xdr:colOff>
      <xdr:row>3</xdr:row>
      <xdr:rowOff>129426</xdr:rowOff>
    </xdr:from>
    <xdr:to>
      <xdr:col>14</xdr:col>
      <xdr:colOff>348084</xdr:colOff>
      <xdr:row>8</xdr:row>
      <xdr:rowOff>178732</xdr:rowOff>
    </xdr:to>
    <xdr:grpSp>
      <xdr:nvGrpSpPr>
        <xdr:cNvPr id="33" name="Group 32">
          <a:extLst>
            <a:ext uri="{FF2B5EF4-FFF2-40B4-BE49-F238E27FC236}">
              <a16:creationId xmlns:a16="http://schemas.microsoft.com/office/drawing/2014/main" id="{C93222E6-05E9-3E47-5E8E-7437C1F85A01}"/>
            </a:ext>
          </a:extLst>
        </xdr:cNvPr>
        <xdr:cNvGrpSpPr/>
      </xdr:nvGrpSpPr>
      <xdr:grpSpPr>
        <a:xfrm>
          <a:off x="65554" y="700926"/>
          <a:ext cx="8728030" cy="1001806"/>
          <a:chOff x="289674" y="700926"/>
          <a:chExt cx="8754177" cy="1001806"/>
        </a:xfrm>
      </xdr:grpSpPr>
      <xdr:grpSp>
        <xdr:nvGrpSpPr>
          <xdr:cNvPr id="36" name="Group 35">
            <a:extLst>
              <a:ext uri="{FF2B5EF4-FFF2-40B4-BE49-F238E27FC236}">
                <a16:creationId xmlns:a16="http://schemas.microsoft.com/office/drawing/2014/main" id="{5DE6A52E-0E1F-088C-F4DC-8627370BFBC7}"/>
              </a:ext>
            </a:extLst>
          </xdr:cNvPr>
          <xdr:cNvGrpSpPr/>
        </xdr:nvGrpSpPr>
        <xdr:grpSpPr>
          <a:xfrm>
            <a:off x="3333936" y="712132"/>
            <a:ext cx="2697920" cy="990600"/>
            <a:chOff x="2617258" y="809625"/>
            <a:chExt cx="2232025" cy="990600"/>
          </a:xfrm>
        </xdr:grpSpPr>
        <xdr:sp macro="" textlink="">
          <xdr:nvSpPr>
            <xdr:cNvPr id="11" name="Rectangle: Rounded Corners 10">
              <a:extLst>
                <a:ext uri="{FF2B5EF4-FFF2-40B4-BE49-F238E27FC236}">
                  <a16:creationId xmlns:a16="http://schemas.microsoft.com/office/drawing/2014/main" id="{E89028A2-52DC-49A9-8B68-3E99E89E80A4}"/>
                </a:ext>
              </a:extLst>
            </xdr:cNvPr>
            <xdr:cNvSpPr/>
          </xdr:nvSpPr>
          <xdr:spPr>
            <a:xfrm>
              <a:off x="2617258" y="809625"/>
              <a:ext cx="2232025" cy="990600"/>
            </a:xfrm>
            <a:prstGeom prst="roundRect">
              <a:avLst/>
            </a:prstGeom>
            <a:solidFill>
              <a:schemeClr val="bg1"/>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TextBox 13">
              <a:extLst>
                <a:ext uri="{FF2B5EF4-FFF2-40B4-BE49-F238E27FC236}">
                  <a16:creationId xmlns:a16="http://schemas.microsoft.com/office/drawing/2014/main" id="{DA0E36BD-3C90-AAEA-F479-675F49C31519}"/>
                </a:ext>
              </a:extLst>
            </xdr:cNvPr>
            <xdr:cNvSpPr txBox="1"/>
          </xdr:nvSpPr>
          <xdr:spPr>
            <a:xfrm>
              <a:off x="3092450" y="1426633"/>
              <a:ext cx="1189567"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2">
                      <a:lumMod val="25000"/>
                    </a:schemeClr>
                  </a:solidFill>
                </a:rPr>
                <a:t>TOTAL</a:t>
              </a:r>
              <a:r>
                <a:rPr lang="en-US" sz="1200" b="1" baseline="0">
                  <a:solidFill>
                    <a:schemeClr val="bg2">
                      <a:lumMod val="25000"/>
                    </a:schemeClr>
                  </a:solidFill>
                </a:rPr>
                <a:t> ORDERS</a:t>
              </a:r>
              <a:endParaRPr lang="en-US" sz="1200" b="1">
                <a:solidFill>
                  <a:schemeClr val="bg2">
                    <a:lumMod val="25000"/>
                  </a:schemeClr>
                </a:solidFill>
              </a:endParaRPr>
            </a:p>
          </xdr:txBody>
        </xdr:sp>
        <xdr:sp macro="" textlink="OrderCount">
          <xdr:nvSpPr>
            <xdr:cNvPr id="16" name="TextBox 15">
              <a:extLst>
                <a:ext uri="{FF2B5EF4-FFF2-40B4-BE49-F238E27FC236}">
                  <a16:creationId xmlns:a16="http://schemas.microsoft.com/office/drawing/2014/main" id="{5D2847E3-EB4D-ABB4-E524-F4C3C74B1F71}"/>
                </a:ext>
              </a:extLst>
            </xdr:cNvPr>
            <xdr:cNvSpPr txBox="1"/>
          </xdr:nvSpPr>
          <xdr:spPr>
            <a:xfrm>
              <a:off x="3383492" y="900640"/>
              <a:ext cx="720884" cy="4857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ED9F4A3-5D9D-438A-B13E-8B5F09EAAD8B}" type="TxLink">
                <a:rPr lang="en-US" sz="2800" b="1" i="0" u="none" strike="noStrike">
                  <a:solidFill>
                    <a:srgbClr val="000000"/>
                  </a:solidFill>
                  <a:latin typeface="Aptos Narrow"/>
                </a:rPr>
                <a:pPr/>
                <a:t>15</a:t>
              </a:fld>
              <a:endParaRPr lang="en-US" sz="2800" b="1"/>
            </a:p>
          </xdr:txBody>
        </xdr:sp>
      </xdr:grpSp>
      <xdr:grpSp>
        <xdr:nvGrpSpPr>
          <xdr:cNvPr id="37" name="Group 36">
            <a:extLst>
              <a:ext uri="{FF2B5EF4-FFF2-40B4-BE49-F238E27FC236}">
                <a16:creationId xmlns:a16="http://schemas.microsoft.com/office/drawing/2014/main" id="{E7EDB419-D190-7CFE-3E53-EE95E94A0C88}"/>
              </a:ext>
            </a:extLst>
          </xdr:cNvPr>
          <xdr:cNvGrpSpPr/>
        </xdr:nvGrpSpPr>
        <xdr:grpSpPr>
          <a:xfrm>
            <a:off x="6344581" y="712132"/>
            <a:ext cx="2699270" cy="990600"/>
            <a:chOff x="5163608" y="822324"/>
            <a:chExt cx="2232025" cy="990600"/>
          </a:xfrm>
        </xdr:grpSpPr>
        <xdr:sp macro="" textlink="">
          <xdr:nvSpPr>
            <xdr:cNvPr id="22" name="Rectangle: Rounded Corners 21">
              <a:extLst>
                <a:ext uri="{FF2B5EF4-FFF2-40B4-BE49-F238E27FC236}">
                  <a16:creationId xmlns:a16="http://schemas.microsoft.com/office/drawing/2014/main" id="{E726A525-E52C-408F-BCA9-D9DD2CD10326}"/>
                </a:ext>
              </a:extLst>
            </xdr:cNvPr>
            <xdr:cNvSpPr/>
          </xdr:nvSpPr>
          <xdr:spPr>
            <a:xfrm>
              <a:off x="5163608" y="822324"/>
              <a:ext cx="2232025" cy="990600"/>
            </a:xfrm>
            <a:prstGeom prst="roundRect">
              <a:avLst/>
            </a:prstGeom>
            <a:solidFill>
              <a:schemeClr val="bg1"/>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TextBox 22">
              <a:extLst>
                <a:ext uri="{FF2B5EF4-FFF2-40B4-BE49-F238E27FC236}">
                  <a16:creationId xmlns:a16="http://schemas.microsoft.com/office/drawing/2014/main" id="{59247AA7-CE2C-AAA7-31B1-F7F548666961}"/>
                </a:ext>
              </a:extLst>
            </xdr:cNvPr>
            <xdr:cNvSpPr txBox="1"/>
          </xdr:nvSpPr>
          <xdr:spPr>
            <a:xfrm>
              <a:off x="5418667" y="1460500"/>
              <a:ext cx="1703916" cy="2645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2">
                      <a:lumMod val="25000"/>
                    </a:schemeClr>
                  </a:solidFill>
                </a:rPr>
                <a:t>AVERAGE</a:t>
              </a:r>
              <a:r>
                <a:rPr lang="en-US" sz="1200" b="1" baseline="0">
                  <a:solidFill>
                    <a:schemeClr val="bg2">
                      <a:lumMod val="25000"/>
                    </a:schemeClr>
                  </a:solidFill>
                </a:rPr>
                <a:t> ORDER VALUE</a:t>
              </a:r>
              <a:endParaRPr lang="en-US" sz="1200" b="1">
                <a:solidFill>
                  <a:schemeClr val="bg2">
                    <a:lumMod val="25000"/>
                  </a:schemeClr>
                </a:solidFill>
              </a:endParaRPr>
            </a:p>
          </xdr:txBody>
        </xdr:sp>
        <xdr:sp macro="" textlink="AvgOrderValue">
          <xdr:nvSpPr>
            <xdr:cNvPr id="24" name="TextBox 23">
              <a:extLst>
                <a:ext uri="{FF2B5EF4-FFF2-40B4-BE49-F238E27FC236}">
                  <a16:creationId xmlns:a16="http://schemas.microsoft.com/office/drawing/2014/main" id="{8F37D7AF-71C5-74A7-1BEF-F0FD406F0B34}"/>
                </a:ext>
              </a:extLst>
            </xdr:cNvPr>
            <xdr:cNvSpPr txBox="1"/>
          </xdr:nvSpPr>
          <xdr:spPr>
            <a:xfrm>
              <a:off x="5778499" y="920750"/>
              <a:ext cx="941917" cy="444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398362C-0683-40D3-8974-F53358B49AEC}" type="TxLink">
                <a:rPr lang="en-US" sz="2800" b="1" i="0" u="none" strike="noStrike">
                  <a:solidFill>
                    <a:srgbClr val="000000"/>
                  </a:solidFill>
                  <a:latin typeface="Aptos Narrow"/>
                </a:rPr>
                <a:pPr algn="ctr"/>
                <a:t>$480</a:t>
              </a:fld>
              <a:endParaRPr lang="en-US" sz="2800" b="1"/>
            </a:p>
          </xdr:txBody>
        </xdr:sp>
      </xdr:grpSp>
      <xdr:grpSp>
        <xdr:nvGrpSpPr>
          <xdr:cNvPr id="29" name="Group 28">
            <a:extLst>
              <a:ext uri="{FF2B5EF4-FFF2-40B4-BE49-F238E27FC236}">
                <a16:creationId xmlns:a16="http://schemas.microsoft.com/office/drawing/2014/main" id="{613F3825-62A4-E610-5763-ABB134205498}"/>
              </a:ext>
            </a:extLst>
          </xdr:cNvPr>
          <xdr:cNvGrpSpPr/>
        </xdr:nvGrpSpPr>
        <xdr:grpSpPr>
          <a:xfrm>
            <a:off x="289674" y="700926"/>
            <a:ext cx="2697920" cy="990600"/>
            <a:chOff x="2617258" y="809625"/>
            <a:chExt cx="2232025" cy="990600"/>
          </a:xfrm>
        </xdr:grpSpPr>
        <xdr:sp macro="" textlink="">
          <xdr:nvSpPr>
            <xdr:cNvPr id="30" name="Rectangle: Rounded Corners 29">
              <a:extLst>
                <a:ext uri="{FF2B5EF4-FFF2-40B4-BE49-F238E27FC236}">
                  <a16:creationId xmlns:a16="http://schemas.microsoft.com/office/drawing/2014/main" id="{60BBE7C9-B7D5-86C0-D48A-FF25DAFDCEAF}"/>
                </a:ext>
              </a:extLst>
            </xdr:cNvPr>
            <xdr:cNvSpPr/>
          </xdr:nvSpPr>
          <xdr:spPr>
            <a:xfrm>
              <a:off x="2617258" y="809625"/>
              <a:ext cx="2232025" cy="990600"/>
            </a:xfrm>
            <a:prstGeom prst="roundRect">
              <a:avLst/>
            </a:prstGeom>
            <a:solidFill>
              <a:schemeClr val="bg1"/>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TextBox 30">
              <a:extLst>
                <a:ext uri="{FF2B5EF4-FFF2-40B4-BE49-F238E27FC236}">
                  <a16:creationId xmlns:a16="http://schemas.microsoft.com/office/drawing/2014/main" id="{C3C6B959-1EC3-71D3-F172-B93DA3E0E37C}"/>
                </a:ext>
              </a:extLst>
            </xdr:cNvPr>
            <xdr:cNvSpPr txBox="1"/>
          </xdr:nvSpPr>
          <xdr:spPr>
            <a:xfrm>
              <a:off x="3092450" y="1426633"/>
              <a:ext cx="1189567"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2">
                      <a:lumMod val="25000"/>
                    </a:schemeClr>
                  </a:solidFill>
                </a:rPr>
                <a:t>TOTAL</a:t>
              </a:r>
              <a:r>
                <a:rPr lang="en-US" sz="1200" b="1" baseline="0">
                  <a:solidFill>
                    <a:schemeClr val="bg2">
                      <a:lumMod val="25000"/>
                    </a:schemeClr>
                  </a:solidFill>
                </a:rPr>
                <a:t> REVENUE</a:t>
              </a:r>
              <a:endParaRPr lang="en-US" sz="1200" b="1">
                <a:solidFill>
                  <a:schemeClr val="bg2">
                    <a:lumMod val="25000"/>
                  </a:schemeClr>
                </a:solidFill>
              </a:endParaRPr>
            </a:p>
          </xdr:txBody>
        </xdr:sp>
        <xdr:sp macro="" textlink="TotalRevenue">
          <xdr:nvSpPr>
            <xdr:cNvPr id="32" name="TextBox 31">
              <a:extLst>
                <a:ext uri="{FF2B5EF4-FFF2-40B4-BE49-F238E27FC236}">
                  <a16:creationId xmlns:a16="http://schemas.microsoft.com/office/drawing/2014/main" id="{4422DD14-B507-85B1-3E2E-4A7A978F1339}"/>
                </a:ext>
              </a:extLst>
            </xdr:cNvPr>
            <xdr:cNvSpPr txBox="1"/>
          </xdr:nvSpPr>
          <xdr:spPr>
            <a:xfrm>
              <a:off x="3179532" y="911846"/>
              <a:ext cx="1117123" cy="4857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51F8CDF-9227-49FD-85F4-039C96F0997C}" type="TxLink">
                <a:rPr lang="en-US" sz="2800" b="1" i="0" u="none" strike="noStrike">
                  <a:solidFill>
                    <a:srgbClr val="000000"/>
                  </a:solidFill>
                  <a:latin typeface="Aptos Narrow"/>
                </a:rPr>
                <a:t>$7,200</a:t>
              </a:fld>
              <a:endParaRPr lang="en-US" sz="2800" b="1"/>
            </a:p>
          </xdr:txBody>
        </xdr: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ssilly D Great" refreshedDate="46091.54780763889" createdVersion="8" refreshedVersion="8" minRefreshableVersion="3" recordCount="15" xr:uid="{100AC04A-C594-4718-A05F-657E4656CAB1}">
  <cacheSource type="worksheet">
    <worksheetSource name="Table1"/>
  </cacheSource>
  <cacheFields count="14">
    <cacheField name="order_item_id" numFmtId="0">
      <sharedItems containsSemiMixedTypes="0" containsString="0" containsNumber="1" containsInteger="1" minValue="1" maxValue="15"/>
    </cacheField>
    <cacheField name="order_id" numFmtId="0">
      <sharedItems containsSemiMixedTypes="0" containsString="0" containsNumber="1" containsInteger="1" minValue="1" maxValue="13"/>
    </cacheField>
    <cacheField name="order_date" numFmtId="14">
      <sharedItems containsSemiMixedTypes="0" containsNonDate="0" containsDate="1" containsString="0" minDate="2024-09-01T00:00:00" maxDate="2024-10-06T00:00:00" count="13">
        <d v="2024-09-01T00:00:00"/>
        <d v="2024-09-02T00:00:00"/>
        <d v="2024-09-05T00:00:00"/>
        <d v="2024-09-10T00:00:00"/>
        <d v="2024-09-12T00:00:00"/>
        <d v="2024-09-15T00:00:00"/>
        <d v="2024-09-18T00:00:00"/>
        <d v="2024-09-20T00:00:00"/>
        <d v="2024-09-25T00:00:00"/>
        <d v="2024-09-28T00:00:00"/>
        <d v="2024-10-01T00:00:00"/>
        <d v="2024-10-03T00:00:00"/>
        <d v="2024-10-05T00:00:00"/>
      </sharedItems>
      <fieldGroup par="13"/>
    </cacheField>
    <cacheField name="customer_id" numFmtId="0">
      <sharedItems containsSemiMixedTypes="0" containsString="0" containsNumber="1" containsInteger="1" minValue="1" maxValue="10"/>
    </cacheField>
    <cacheField name="customer_name" numFmtId="0">
      <sharedItems count="10">
        <s v="David Okoro"/>
        <s v="Sarah Adebayo"/>
        <s v="Michael Ibrahim"/>
        <s v="Daniel Eze"/>
        <s v="Joy Balogun"/>
        <s v="Samuel Osei"/>
        <s v="Esther Nwosu"/>
        <s v="Paul Adeyemi"/>
        <s v="Linda Okafor"/>
        <s v="Grace Mensah"/>
      </sharedItems>
    </cacheField>
    <cacheField name="city" numFmtId="0">
      <sharedItems count="6">
        <s v="Lagos"/>
        <s v="Abuja"/>
        <s v="Kano"/>
        <s v="Port Harcourt"/>
        <s v="Accra"/>
        <s v="Ibadan"/>
      </sharedItems>
    </cacheField>
    <cacheField name="product_id" numFmtId="0">
      <sharedItems containsSemiMixedTypes="0" containsString="0" containsNumber="1" containsInteger="1" minValue="1" maxValue="10"/>
    </cacheField>
    <cacheField name="product_name" numFmtId="0">
      <sharedItems count="10">
        <s v="iPhone 14"/>
        <s v="Bluetooth Speaker"/>
        <s v="Samsung TV"/>
        <s v="HP Laptop"/>
        <s v="Nike Sneakers"/>
        <s v="Standing Desk"/>
        <s v="Leather Bag"/>
        <s v="Office Chair"/>
        <s v="Wrist Watch"/>
        <s v="Backpack"/>
      </sharedItems>
    </cacheField>
    <cacheField name="category" numFmtId="0">
      <sharedItems count="4">
        <s v="Electronics"/>
        <s v="Fashion"/>
        <s v="Furniture"/>
        <s v="Accessories"/>
      </sharedItems>
    </cacheField>
    <cacheField name="quantity" numFmtId="0">
      <sharedItems containsSemiMixedTypes="0" containsString="0" containsNumber="1" containsInteger="1" minValue="1" maxValue="3"/>
    </cacheField>
    <cacheField name="price" numFmtId="0">
      <sharedItems containsSemiMixedTypes="0" containsString="0" containsNumber="1" containsInteger="1" minValue="75" maxValue="900"/>
    </cacheField>
    <cacheField name="revenue" numFmtId="0">
      <sharedItems containsSemiMixedTypes="0" containsString="0" containsNumber="1" containsInteger="1" minValue="85" maxValue="1500"/>
    </cacheField>
    <cacheField name="Days (order_date)" numFmtId="0" databaseField="0">
      <fieldGroup base="2">
        <rangePr groupBy="days" startDate="2024-09-01T00:00:00" endDate="2024-10-06T00:00:00"/>
        <groupItems count="368">
          <s v="&lt;01/09/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6/10/2024"/>
        </groupItems>
      </fieldGroup>
    </cacheField>
    <cacheField name="Months (order_date)" numFmtId="0" databaseField="0">
      <fieldGroup base="2">
        <rangePr groupBy="months" startDate="2024-09-01T00:00:00" endDate="2024-10-06T00:00:00"/>
        <groupItems count="14">
          <s v="&lt;01/09/2024"/>
          <s v="Jan"/>
          <s v="Feb"/>
          <s v="Mar"/>
          <s v="Apr"/>
          <s v="May"/>
          <s v="Jun"/>
          <s v="Jul"/>
          <s v="Aug"/>
          <s v="Sep"/>
          <s v="Oct"/>
          <s v="Nov"/>
          <s v="Dec"/>
          <s v="&gt;06/10/2024"/>
        </groupItems>
      </fieldGroup>
    </cacheField>
  </cacheFields>
  <extLst>
    <ext xmlns:x14="http://schemas.microsoft.com/office/spreadsheetml/2009/9/main" uri="{725AE2AE-9491-48be-B2B4-4EB974FC3084}">
      <x14:pivotCacheDefinition pivotCacheId="3073170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
    <n v="1"/>
    <x v="0"/>
    <n v="1"/>
    <x v="0"/>
    <x v="0"/>
    <n v="1"/>
    <x v="0"/>
    <x v="0"/>
    <n v="1"/>
    <n v="900"/>
    <n v="900"/>
  </r>
  <r>
    <n v="2"/>
    <n v="1"/>
    <x v="0"/>
    <n v="1"/>
    <x v="0"/>
    <x v="0"/>
    <n v="9"/>
    <x v="1"/>
    <x v="0"/>
    <n v="2"/>
    <n v="85"/>
    <n v="170"/>
  </r>
  <r>
    <n v="3"/>
    <n v="2"/>
    <x v="1"/>
    <n v="2"/>
    <x v="1"/>
    <x v="1"/>
    <n v="2"/>
    <x v="2"/>
    <x v="0"/>
    <n v="1"/>
    <n v="650"/>
    <n v="650"/>
  </r>
  <r>
    <n v="4"/>
    <n v="3"/>
    <x v="2"/>
    <n v="3"/>
    <x v="2"/>
    <x v="2"/>
    <n v="3"/>
    <x v="3"/>
    <x v="0"/>
    <n v="1"/>
    <n v="750"/>
    <n v="750"/>
  </r>
  <r>
    <n v="5"/>
    <n v="4"/>
    <x v="3"/>
    <n v="1"/>
    <x v="0"/>
    <x v="0"/>
    <n v="6"/>
    <x v="4"/>
    <x v="1"/>
    <n v="2"/>
    <n v="150"/>
    <n v="300"/>
  </r>
  <r>
    <n v="6"/>
    <n v="5"/>
    <x v="4"/>
    <n v="5"/>
    <x v="3"/>
    <x v="3"/>
    <n v="5"/>
    <x v="5"/>
    <x v="2"/>
    <n v="1"/>
    <n v="300"/>
    <n v="300"/>
  </r>
  <r>
    <n v="7"/>
    <n v="6"/>
    <x v="5"/>
    <n v="6"/>
    <x v="4"/>
    <x v="0"/>
    <n v="7"/>
    <x v="6"/>
    <x v="1"/>
    <n v="1"/>
    <n v="200"/>
    <n v="200"/>
  </r>
  <r>
    <n v="8"/>
    <n v="7"/>
    <x v="6"/>
    <n v="7"/>
    <x v="5"/>
    <x v="4"/>
    <n v="4"/>
    <x v="7"/>
    <x v="2"/>
    <n v="2"/>
    <n v="120"/>
    <n v="240"/>
  </r>
  <r>
    <n v="9"/>
    <n v="8"/>
    <x v="7"/>
    <n v="8"/>
    <x v="6"/>
    <x v="1"/>
    <n v="8"/>
    <x v="8"/>
    <x v="3"/>
    <n v="1"/>
    <n v="180"/>
    <n v="180"/>
  </r>
  <r>
    <n v="10"/>
    <n v="9"/>
    <x v="8"/>
    <n v="9"/>
    <x v="7"/>
    <x v="5"/>
    <n v="10"/>
    <x v="9"/>
    <x v="1"/>
    <n v="3"/>
    <n v="75"/>
    <n v="225"/>
  </r>
  <r>
    <n v="11"/>
    <n v="10"/>
    <x v="9"/>
    <n v="10"/>
    <x v="8"/>
    <x v="0"/>
    <n v="1"/>
    <x v="0"/>
    <x v="0"/>
    <n v="1"/>
    <n v="900"/>
    <n v="900"/>
  </r>
  <r>
    <n v="12"/>
    <n v="11"/>
    <x v="10"/>
    <n v="4"/>
    <x v="9"/>
    <x v="4"/>
    <n v="2"/>
    <x v="2"/>
    <x v="0"/>
    <n v="1"/>
    <n v="650"/>
    <n v="650"/>
  </r>
  <r>
    <n v="13"/>
    <n v="12"/>
    <x v="11"/>
    <n v="2"/>
    <x v="1"/>
    <x v="1"/>
    <n v="6"/>
    <x v="4"/>
    <x v="1"/>
    <n v="1"/>
    <n v="150"/>
    <n v="150"/>
  </r>
  <r>
    <n v="14"/>
    <n v="13"/>
    <x v="12"/>
    <n v="3"/>
    <x v="2"/>
    <x v="2"/>
    <n v="3"/>
    <x v="3"/>
    <x v="0"/>
    <n v="2"/>
    <n v="750"/>
    <n v="1500"/>
  </r>
  <r>
    <n v="15"/>
    <n v="13"/>
    <x v="12"/>
    <n v="3"/>
    <x v="2"/>
    <x v="2"/>
    <n v="9"/>
    <x v="1"/>
    <x v="0"/>
    <n v="1"/>
    <n v="85"/>
    <n v="8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78814A-3A9C-4A4D-A385-5B365642A6D2}"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F1:G7" firstHeaderRow="1" firstDataRow="1" firstDataCol="1"/>
  <pivotFields count="14">
    <pivotField showAll="0"/>
    <pivotField showAll="0"/>
    <pivotField numFmtId="14" showAll="0">
      <items count="14">
        <item x="0"/>
        <item x="1"/>
        <item x="2"/>
        <item x="3"/>
        <item x="4"/>
        <item x="5"/>
        <item x="6"/>
        <item x="7"/>
        <item x="8"/>
        <item x="9"/>
        <item x="10"/>
        <item x="11"/>
        <item x="12"/>
        <item t="default"/>
      </items>
    </pivotField>
    <pivotField showAll="0"/>
    <pivotField axis="axisRow" showAll="0" measureFilter="1" sortType="descending">
      <items count="11">
        <item x="3"/>
        <item x="0"/>
        <item x="6"/>
        <item x="9"/>
        <item x="4"/>
        <item x="8"/>
        <item x="2"/>
        <item x="7"/>
        <item x="5"/>
        <item x="1"/>
        <item t="default"/>
      </items>
      <autoSortScope>
        <pivotArea dataOnly="0" outline="0" fieldPosition="0">
          <references count="1">
            <reference field="4294967294" count="1" selected="0">
              <x v="0"/>
            </reference>
          </references>
        </pivotArea>
      </autoSortScope>
    </pivotField>
    <pivotField showAll="0">
      <items count="7">
        <item x="1"/>
        <item x="4"/>
        <item x="5"/>
        <item x="2"/>
        <item x="0"/>
        <item x="3"/>
        <item t="default"/>
      </items>
    </pivotField>
    <pivotField showAll="0"/>
    <pivotField showAll="0">
      <items count="11">
        <item x="9"/>
        <item x="1"/>
        <item x="3"/>
        <item x="0"/>
        <item x="6"/>
        <item x="4"/>
        <item x="7"/>
        <item x="2"/>
        <item x="5"/>
        <item x="8"/>
        <item t="default"/>
      </items>
    </pivotField>
    <pivotField showAll="0">
      <items count="5">
        <item x="3"/>
        <item x="0"/>
        <item x="1"/>
        <item x="2"/>
        <item t="default"/>
      </items>
    </pivotField>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6">
    <i>
      <x v="6"/>
    </i>
    <i>
      <x v="1"/>
    </i>
    <i>
      <x v="5"/>
    </i>
    <i>
      <x v="9"/>
    </i>
    <i>
      <x v="3"/>
    </i>
    <i t="grand">
      <x/>
    </i>
  </rowItems>
  <colItems count="1">
    <i/>
  </colItems>
  <dataFields count="1">
    <dataField name="Sum of revenue" fld="11" baseField="0"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6D8780-596E-4D19-A086-BCF1008D8A57}"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I5:J8" firstHeaderRow="1" firstDataRow="1" firstDataCol="1"/>
  <pivotFields count="14">
    <pivotField showAll="0"/>
    <pivotField dataField="1" showAll="0"/>
    <pivotField numFmtId="14" showAll="0">
      <items count="14">
        <item x="0"/>
        <item x="1"/>
        <item x="2"/>
        <item x="3"/>
        <item x="4"/>
        <item x="5"/>
        <item x="6"/>
        <item x="7"/>
        <item x="8"/>
        <item x="9"/>
        <item x="10"/>
        <item x="11"/>
        <item x="12"/>
        <item t="default"/>
      </items>
    </pivotField>
    <pivotField showAll="0"/>
    <pivotField showAll="0"/>
    <pivotField showAll="0">
      <items count="7">
        <item x="1"/>
        <item x="4"/>
        <item x="5"/>
        <item x="2"/>
        <item x="0"/>
        <item x="3"/>
        <item t="default"/>
      </items>
    </pivotField>
    <pivotField showAll="0"/>
    <pivotField showAll="0">
      <items count="11">
        <item x="9"/>
        <item x="1"/>
        <item x="3"/>
        <item x="0"/>
        <item x="6"/>
        <item x="4"/>
        <item x="7"/>
        <item x="2"/>
        <item x="5"/>
        <item x="8"/>
        <item t="default"/>
      </items>
    </pivotField>
    <pivotField showAll="0">
      <items count="5">
        <item x="3"/>
        <item x="0"/>
        <item x="1"/>
        <item x="2"/>
        <item t="default"/>
      </items>
    </pivotField>
    <pivotField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13"/>
  </rowFields>
  <rowItems count="3">
    <i>
      <x v="9"/>
    </i>
    <i>
      <x v="10"/>
    </i>
    <i t="grand">
      <x/>
    </i>
  </rowItems>
  <colItems count="1">
    <i/>
  </colItems>
  <dataFields count="1">
    <dataField name="Count of order_id" fld="1" subtotal="count" baseField="13" baseItem="9"/>
  </dataFields>
  <chartFormats count="2">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3B9CFB-C798-4D65-AA4B-B9ECABFD6151}"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4:A5" firstHeaderRow="1" firstDataRow="1" firstDataCol="0"/>
  <pivotFields count="14">
    <pivotField showAll="0"/>
    <pivotField dataField="1" showAll="0"/>
    <pivotField numFmtId="14" showAll="0">
      <items count="14">
        <item x="0"/>
        <item x="1"/>
        <item x="2"/>
        <item x="3"/>
        <item x="4"/>
        <item x="5"/>
        <item x="6"/>
        <item x="7"/>
        <item x="8"/>
        <item x="9"/>
        <item x="10"/>
        <item x="11"/>
        <item x="12"/>
        <item t="default"/>
      </items>
    </pivotField>
    <pivotField showAll="0"/>
    <pivotField showAll="0"/>
    <pivotField showAll="0">
      <items count="7">
        <item x="1"/>
        <item x="4"/>
        <item x="5"/>
        <item x="2"/>
        <item x="0"/>
        <item x="3"/>
        <item t="default"/>
      </items>
    </pivotField>
    <pivotField showAll="0"/>
    <pivotField showAll="0">
      <items count="11">
        <item x="9"/>
        <item x="1"/>
        <item x="3"/>
        <item x="0"/>
        <item x="6"/>
        <item x="4"/>
        <item x="7"/>
        <item x="2"/>
        <item x="5"/>
        <item x="8"/>
        <item t="default"/>
      </items>
    </pivotField>
    <pivotField showAll="0">
      <items count="5">
        <item x="3"/>
        <item x="0"/>
        <item x="1"/>
        <item x="2"/>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F6459C-5E0A-4C47-A3C2-EED64437687A}"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C6:D11" firstHeaderRow="1" firstDataRow="1" firstDataCol="1"/>
  <pivotFields count="14">
    <pivotField showAll="0"/>
    <pivotField showAll="0"/>
    <pivotField numFmtId="14" showAll="0">
      <items count="14">
        <item x="0"/>
        <item x="1"/>
        <item x="2"/>
        <item x="3"/>
        <item x="4"/>
        <item x="5"/>
        <item x="6"/>
        <item x="7"/>
        <item x="8"/>
        <item x="9"/>
        <item x="10"/>
        <item x="11"/>
        <item x="12"/>
        <item t="default"/>
      </items>
    </pivotField>
    <pivotField showAll="0"/>
    <pivotField showAll="0"/>
    <pivotField showAll="0">
      <items count="7">
        <item x="1"/>
        <item x="4"/>
        <item x="5"/>
        <item x="2"/>
        <item x="0"/>
        <item x="3"/>
        <item t="default"/>
      </items>
    </pivotField>
    <pivotField showAll="0"/>
    <pivotField showAll="0">
      <items count="11">
        <item x="9"/>
        <item x="1"/>
        <item x="3"/>
        <item x="0"/>
        <item x="6"/>
        <item x="4"/>
        <item x="7"/>
        <item x="2"/>
        <item x="5"/>
        <item x="8"/>
        <item t="default"/>
      </items>
    </pivotField>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5">
    <i>
      <x v="1"/>
    </i>
    <i>
      <x v="2"/>
    </i>
    <i>
      <x v="3"/>
    </i>
    <i>
      <x/>
    </i>
    <i t="grand">
      <x/>
    </i>
  </rowItems>
  <colItems count="1">
    <i/>
  </colItems>
  <dataFields count="1">
    <dataField name="Sum of revenue" fld="11" baseField="0" baseItem="0"/>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6F35D1-A3A1-45D4-A00C-F06B6AC94ECF}"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C13:D20" firstHeaderRow="1" firstDataRow="1" firstDataCol="1"/>
  <pivotFields count="14">
    <pivotField showAll="0"/>
    <pivotField dataField="1" showAll="0"/>
    <pivotField numFmtId="14" showAll="0">
      <items count="14">
        <item x="0"/>
        <item x="1"/>
        <item x="2"/>
        <item x="3"/>
        <item x="4"/>
        <item x="5"/>
        <item x="6"/>
        <item x="7"/>
        <item x="8"/>
        <item x="9"/>
        <item x="10"/>
        <item x="11"/>
        <item x="12"/>
        <item t="default"/>
      </items>
    </pivotField>
    <pivotField showAll="0"/>
    <pivotField showAll="0"/>
    <pivotField axis="axisRow" showAll="0" sortType="descending">
      <items count="7">
        <item x="1"/>
        <item x="4"/>
        <item x="5"/>
        <item x="2"/>
        <item x="0"/>
        <item x="3"/>
        <item t="default"/>
      </items>
      <autoSortScope>
        <pivotArea dataOnly="0" outline="0" fieldPosition="0">
          <references count="1">
            <reference field="4294967294" count="1" selected="0">
              <x v="0"/>
            </reference>
          </references>
        </pivotArea>
      </autoSortScope>
    </pivotField>
    <pivotField showAll="0"/>
    <pivotField showAll="0">
      <items count="11">
        <item x="9"/>
        <item x="1"/>
        <item x="3"/>
        <item x="0"/>
        <item x="6"/>
        <item x="4"/>
        <item x="7"/>
        <item x="2"/>
        <item x="5"/>
        <item x="8"/>
        <item t="default"/>
      </items>
    </pivotField>
    <pivotField showAll="0">
      <items count="5">
        <item x="3"/>
        <item x="0"/>
        <item x="1"/>
        <item x="2"/>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7">
    <i>
      <x v="4"/>
    </i>
    <i>
      <x v="3"/>
    </i>
    <i>
      <x/>
    </i>
    <i>
      <x v="1"/>
    </i>
    <i>
      <x v="5"/>
    </i>
    <i>
      <x v="2"/>
    </i>
    <i t="grand">
      <x/>
    </i>
  </rowItems>
  <colItems count="1">
    <i/>
  </colItems>
  <dataFields count="1">
    <dataField name="Count of order_id" fld="1" subtotal="count" baseField="5"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1298B5-F5A6-4757-A7CE-FA6E8A215620}"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C1:D4" firstHeaderRow="1" firstDataRow="1" firstDataCol="1"/>
  <pivotFields count="14">
    <pivotField showAll="0"/>
    <pivotField showAll="0"/>
    <pivotField axis="axisRow" numFmtId="14" showAll="0">
      <items count="14">
        <item x="0"/>
        <item x="1"/>
        <item x="2"/>
        <item x="3"/>
        <item x="4"/>
        <item x="5"/>
        <item x="6"/>
        <item x="7"/>
        <item x="8"/>
        <item x="9"/>
        <item x="10"/>
        <item x="11"/>
        <item x="12"/>
        <item t="default"/>
      </items>
    </pivotField>
    <pivotField showAll="0"/>
    <pivotField showAll="0"/>
    <pivotField showAll="0">
      <items count="7">
        <item x="1"/>
        <item x="4"/>
        <item x="5"/>
        <item x="2"/>
        <item x="0"/>
        <item x="3"/>
        <item t="default"/>
      </items>
    </pivotField>
    <pivotField showAll="0"/>
    <pivotField showAll="0">
      <items count="11">
        <item x="9"/>
        <item x="1"/>
        <item x="3"/>
        <item x="0"/>
        <item x="6"/>
        <item x="4"/>
        <item x="7"/>
        <item x="2"/>
        <item x="5"/>
        <item x="8"/>
        <item t="default"/>
      </items>
    </pivotField>
    <pivotField showAll="0">
      <items count="5">
        <item x="3"/>
        <item x="0"/>
        <item x="1"/>
        <item x="2"/>
        <item t="default"/>
      </items>
    </pivotField>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3"/>
    <field x="12"/>
    <field x="2"/>
  </rowFields>
  <rowItems count="3">
    <i>
      <x v="9"/>
    </i>
    <i>
      <x v="10"/>
    </i>
    <i t="grand">
      <x/>
    </i>
  </rowItems>
  <colItems count="1">
    <i/>
  </colItems>
  <dataFields count="1">
    <dataField name="Sum of revenue" fld="11"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3B91F7-6E0E-4391-839B-ADDF0032725C}"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F9:G20" firstHeaderRow="1" firstDataRow="1" firstDataCol="1"/>
  <pivotFields count="14">
    <pivotField showAll="0"/>
    <pivotField showAll="0"/>
    <pivotField numFmtId="14" showAll="0">
      <items count="14">
        <item x="0"/>
        <item x="1"/>
        <item x="2"/>
        <item x="3"/>
        <item x="4"/>
        <item x="5"/>
        <item x="6"/>
        <item x="7"/>
        <item x="8"/>
        <item x="9"/>
        <item x="10"/>
        <item x="11"/>
        <item x="12"/>
        <item t="default"/>
      </items>
    </pivotField>
    <pivotField showAll="0"/>
    <pivotField showAll="0"/>
    <pivotField showAll="0">
      <items count="7">
        <item x="1"/>
        <item x="4"/>
        <item x="5"/>
        <item x="2"/>
        <item x="0"/>
        <item x="3"/>
        <item t="default"/>
      </items>
    </pivotField>
    <pivotField showAll="0"/>
    <pivotField axis="axisRow" showAll="0" sortType="descending">
      <items count="11">
        <item x="9"/>
        <item x="1"/>
        <item x="3"/>
        <item x="0"/>
        <item x="6"/>
        <item x="4"/>
        <item x="7"/>
        <item x="2"/>
        <item x="5"/>
        <item x="8"/>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11">
    <i>
      <x v="2"/>
    </i>
    <i>
      <x v="3"/>
    </i>
    <i>
      <x v="7"/>
    </i>
    <i>
      <x v="5"/>
    </i>
    <i>
      <x v="8"/>
    </i>
    <i>
      <x v="1"/>
    </i>
    <i>
      <x v="6"/>
    </i>
    <i>
      <x/>
    </i>
    <i>
      <x v="4"/>
    </i>
    <i>
      <x v="9"/>
    </i>
    <i t="grand">
      <x/>
    </i>
  </rowItems>
  <colItems count="1">
    <i/>
  </colItems>
  <dataFields count="1">
    <dataField name="Sum of revenue" fld="11" baseField="0"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9E80EE-5EF6-4D5B-9563-39599CF92AA3}"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A2" firstHeaderRow="1" firstDataRow="1" firstDataCol="0"/>
  <pivotFields count="14">
    <pivotField showAll="0"/>
    <pivotField showAll="0"/>
    <pivotField numFmtId="14" showAll="0">
      <items count="14">
        <item x="0"/>
        <item x="1"/>
        <item x="2"/>
        <item x="3"/>
        <item x="4"/>
        <item x="5"/>
        <item x="6"/>
        <item x="7"/>
        <item x="8"/>
        <item x="9"/>
        <item x="10"/>
        <item x="11"/>
        <item x="12"/>
        <item t="default"/>
      </items>
    </pivotField>
    <pivotField showAll="0"/>
    <pivotField showAll="0"/>
    <pivotField showAll="0">
      <items count="7">
        <item x="1"/>
        <item x="4"/>
        <item x="5"/>
        <item x="2"/>
        <item x="0"/>
        <item x="3"/>
        <item t="default"/>
      </items>
    </pivotField>
    <pivotField showAll="0"/>
    <pivotField showAll="0">
      <items count="11">
        <item x="9"/>
        <item x="1"/>
        <item x="3"/>
        <item x="0"/>
        <item x="6"/>
        <item x="4"/>
        <item x="7"/>
        <item x="2"/>
        <item x="5"/>
        <item x="8"/>
        <item t="default"/>
      </items>
    </pivotField>
    <pivotField showAll="0">
      <items count="5">
        <item x="3"/>
        <item x="0"/>
        <item x="1"/>
        <item x="2"/>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1EEB4B5-3247-4B64-B71A-C6A939B724EB}" sourceName="category">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s>
  <data>
    <tabular pivotCacheId="307317092">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A9C5A78B-9C8F-4CEF-8F88-D250D636D3D7}" sourceName="product_name">
  <pivotTables>
    <pivotTable tabId="2" name="PivotTable6"/>
    <pivotTable tabId="2" name="PivotTable1"/>
    <pivotTable tabId="2" name="PivotTable2"/>
    <pivotTable tabId="2" name="PivotTable3"/>
    <pivotTable tabId="2" name="PivotTable4"/>
    <pivotTable tabId="2" name="PivotTable5"/>
    <pivotTable tabId="2" name="PivotTable7"/>
    <pivotTable tabId="2" name="PivotTable8"/>
  </pivotTables>
  <data>
    <tabular pivotCacheId="307317092">
      <items count="10">
        <i x="9" s="1"/>
        <i x="1" s="1"/>
        <i x="3" s="1"/>
        <i x="0" s="1"/>
        <i x="6" s="1"/>
        <i x="4" s="1"/>
        <i x="7" s="1"/>
        <i x="2" s="1"/>
        <i x="5"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32952EE-D9A1-4225-A051-9CBB73236733}" sourceName="city">
  <pivotTables>
    <pivotTable tabId="2" name="PivotTable7"/>
    <pivotTable tabId="2" name="PivotTable1"/>
    <pivotTable tabId="2" name="PivotTable2"/>
    <pivotTable tabId="2" name="PivotTable3"/>
    <pivotTable tabId="2" name="PivotTable4"/>
    <pivotTable tabId="2" name="PivotTable5"/>
    <pivotTable tabId="2" name="PivotTable6"/>
    <pivotTable tabId="2" name="PivotTable8"/>
  </pivotTables>
  <data>
    <tabular pivotCacheId="307317092">
      <items count="6">
        <i x="1" s="1"/>
        <i x="4" s="1"/>
        <i x="5"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3A7DF0C-90F8-47EF-B19B-5F6D4EDE81AB}" cache="Slicer_category" caption="category" startItem="1" style="SlicerStyleOther1" rowHeight="257175"/>
  <slicer name="product_name" xr10:uid="{42FAB5B0-FEFF-4F98-9DFC-E15B1912F7D6}" cache="Slicer_product_name" caption="product_name" style="SlicerStyleOther1" rowHeight="257175"/>
  <slicer name="city" xr10:uid="{3B935C1B-7860-47BB-AA5E-D81552C46D6C}" cache="Slicer_city" caption="city" style="SlicerStyleOther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E94D13-22BE-4F6D-B46C-B341366C77ED}" name="Table1" displayName="Table1" ref="A1:L16" totalsRowShown="0" headerRowDxfId="13" dataDxfId="12">
  <autoFilter ref="A1:L16" xr:uid="{69E94D13-22BE-4F6D-B46C-B341366C77ED}"/>
  <tableColumns count="12">
    <tableColumn id="1" xr3:uid="{E546AD2C-4BD3-49FD-B6E5-88EF64CCBB2C}" name="order_item_id" dataDxfId="11"/>
    <tableColumn id="2" xr3:uid="{D39B3C5B-4CB5-4F92-A90B-F47B2E7541DC}" name="order_id" dataDxfId="10"/>
    <tableColumn id="3" xr3:uid="{EC90116A-2DA7-40DF-BB19-1CE4FFCAF0B4}" name="order_date" dataDxfId="9"/>
    <tableColumn id="4" xr3:uid="{C8E6933D-53E8-4FFF-9029-996F5FF297A4}" name="customer_id" dataDxfId="8"/>
    <tableColumn id="5" xr3:uid="{2682D977-0CCC-447C-963A-776816F1340D}" name="customer_name" dataDxfId="7"/>
    <tableColumn id="6" xr3:uid="{7258B572-7D0E-44C1-BF6D-459FDBDABD87}" name="city" dataDxfId="6"/>
    <tableColumn id="7" xr3:uid="{912075F5-26F2-436D-80CD-CFC821A6D969}" name="product_id" dataDxfId="5"/>
    <tableColumn id="8" xr3:uid="{22B344A8-0CA0-47F6-82C6-15ED82BF0A5E}" name="product_name" dataDxfId="4"/>
    <tableColumn id="9" xr3:uid="{CABCFF16-76FC-432F-81CA-DFB4D4BB95CE}" name="category" dataDxfId="3"/>
    <tableColumn id="10" xr3:uid="{60B49A52-D44A-4FD2-9660-E2E277ACBC5C}" name="quantity" dataDxfId="2"/>
    <tableColumn id="11" xr3:uid="{0344660C-4D81-4A73-B4A4-81AA857C9D95}" name="price" dataDxfId="1"/>
    <tableColumn id="12" xr3:uid="{C6C30BA1-45DE-4AB4-9278-729F58F0A978}" name="revenu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A528ADD-2FFF-4653-9014-B8121BAF552F}" sourceName="order_date">
  <pivotTables>
    <pivotTable tabId="2" name="PivotTable3"/>
    <pivotTable tabId="2" name="PivotTable1"/>
    <pivotTable tabId="2" name="PivotTable2"/>
    <pivotTable tabId="2" name="PivotTable4"/>
    <pivotTable tabId="2" name="PivotTable5"/>
    <pivotTable tabId="2" name="PivotTable6"/>
    <pivotTable tabId="2" name="PivotTable7"/>
    <pivotTable tabId="2" name="PivotTable8"/>
  </pivotTables>
  <state minimalRefreshVersion="6" lastRefreshVersion="6" pivotCacheId="307317092"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7C264F5B-8936-42B2-993C-6716CE758B1A}" cache="NativeTimeline_order_date" caption="order_date" level="2" selectionLevel="2" scrollPosition="2024-08-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C7C73-CEE5-4634-9221-A3BC88371AB8}">
  <dimension ref="A1:L16"/>
  <sheetViews>
    <sheetView workbookViewId="0">
      <selection activeCell="A2" sqref="A2"/>
    </sheetView>
  </sheetViews>
  <sheetFormatPr defaultRowHeight="15" x14ac:dyDescent="0.25"/>
  <cols>
    <col min="1" max="1" width="18.140625" bestFit="1" customWidth="1"/>
    <col min="2" max="2" width="13" bestFit="1" customWidth="1"/>
    <col min="3" max="3" width="15.28515625" bestFit="1" customWidth="1"/>
    <col min="4" max="4" width="16.7109375" bestFit="1" customWidth="1"/>
    <col min="5" max="5" width="20.140625" bestFit="1" customWidth="1"/>
    <col min="6" max="6" width="12.7109375" bestFit="1" customWidth="1"/>
    <col min="7" max="7" width="15.140625" bestFit="1" customWidth="1"/>
    <col min="8" max="8" width="18.5703125" bestFit="1" customWidth="1"/>
    <col min="9" max="9" width="13.28515625" bestFit="1" customWidth="1"/>
    <col min="10" max="10" width="13" bestFit="1" customWidth="1"/>
    <col min="11" max="11" width="10.140625" bestFit="1" customWidth="1"/>
    <col min="12" max="12" width="13" bestFit="1" customWidth="1"/>
  </cols>
  <sheetData>
    <row r="1" spans="1:12" s="2" customFormat="1" x14ac:dyDescent="0.25">
      <c r="A1" s="1" t="s">
        <v>0</v>
      </c>
      <c r="B1" s="1" t="s">
        <v>1</v>
      </c>
      <c r="C1" s="1" t="s">
        <v>2</v>
      </c>
      <c r="D1" s="1" t="s">
        <v>3</v>
      </c>
      <c r="E1" s="1" t="s">
        <v>4</v>
      </c>
      <c r="F1" s="1" t="s">
        <v>5</v>
      </c>
      <c r="G1" s="1" t="s">
        <v>6</v>
      </c>
      <c r="H1" s="1" t="s">
        <v>7</v>
      </c>
      <c r="I1" s="1" t="s">
        <v>8</v>
      </c>
      <c r="J1" s="1" t="s">
        <v>9</v>
      </c>
      <c r="K1" s="1" t="s">
        <v>10</v>
      </c>
      <c r="L1" s="1" t="s">
        <v>11</v>
      </c>
    </row>
    <row r="2" spans="1:12" s="2" customFormat="1" x14ac:dyDescent="0.25">
      <c r="A2" s="2">
        <v>1</v>
      </c>
      <c r="B2" s="2">
        <v>1</v>
      </c>
      <c r="C2" s="3">
        <v>45536</v>
      </c>
      <c r="D2" s="2">
        <v>1</v>
      </c>
      <c r="E2" s="2" t="s">
        <v>12</v>
      </c>
      <c r="F2" s="2" t="s">
        <v>13</v>
      </c>
      <c r="G2" s="2">
        <v>1</v>
      </c>
      <c r="H2" s="2" t="s">
        <v>14</v>
      </c>
      <c r="I2" s="2" t="s">
        <v>15</v>
      </c>
      <c r="J2" s="2">
        <v>1</v>
      </c>
      <c r="K2" s="2">
        <v>900</v>
      </c>
      <c r="L2" s="2">
        <v>900</v>
      </c>
    </row>
    <row r="3" spans="1:12" s="2" customFormat="1" x14ac:dyDescent="0.25">
      <c r="A3" s="2">
        <v>2</v>
      </c>
      <c r="B3" s="2">
        <v>1</v>
      </c>
      <c r="C3" s="3">
        <v>45536</v>
      </c>
      <c r="D3" s="2">
        <v>1</v>
      </c>
      <c r="E3" s="2" t="s">
        <v>12</v>
      </c>
      <c r="F3" s="2" t="s">
        <v>13</v>
      </c>
      <c r="G3" s="2">
        <v>9</v>
      </c>
      <c r="H3" s="2" t="s">
        <v>16</v>
      </c>
      <c r="I3" s="2" t="s">
        <v>15</v>
      </c>
      <c r="J3" s="2">
        <v>2</v>
      </c>
      <c r="K3" s="2">
        <v>85</v>
      </c>
      <c r="L3" s="2">
        <v>170</v>
      </c>
    </row>
    <row r="4" spans="1:12" s="2" customFormat="1" x14ac:dyDescent="0.25">
      <c r="A4" s="2">
        <v>3</v>
      </c>
      <c r="B4" s="2">
        <v>2</v>
      </c>
      <c r="C4" s="3">
        <v>45537</v>
      </c>
      <c r="D4" s="2">
        <v>2</v>
      </c>
      <c r="E4" s="2" t="s">
        <v>17</v>
      </c>
      <c r="F4" s="2" t="s">
        <v>18</v>
      </c>
      <c r="G4" s="2">
        <v>2</v>
      </c>
      <c r="H4" s="2" t="s">
        <v>19</v>
      </c>
      <c r="I4" s="2" t="s">
        <v>15</v>
      </c>
      <c r="J4" s="2">
        <v>1</v>
      </c>
      <c r="K4" s="2">
        <v>650</v>
      </c>
      <c r="L4" s="2">
        <v>650</v>
      </c>
    </row>
    <row r="5" spans="1:12" s="2" customFormat="1" x14ac:dyDescent="0.25">
      <c r="A5" s="2">
        <v>4</v>
      </c>
      <c r="B5" s="2">
        <v>3</v>
      </c>
      <c r="C5" s="3">
        <v>45540</v>
      </c>
      <c r="D5" s="2">
        <v>3</v>
      </c>
      <c r="E5" s="2" t="s">
        <v>20</v>
      </c>
      <c r="F5" s="2" t="s">
        <v>21</v>
      </c>
      <c r="G5" s="2">
        <v>3</v>
      </c>
      <c r="H5" s="2" t="s">
        <v>22</v>
      </c>
      <c r="I5" s="2" t="s">
        <v>15</v>
      </c>
      <c r="J5" s="2">
        <v>1</v>
      </c>
      <c r="K5" s="2">
        <v>750</v>
      </c>
      <c r="L5" s="2">
        <v>750</v>
      </c>
    </row>
    <row r="6" spans="1:12" s="2" customFormat="1" x14ac:dyDescent="0.25">
      <c r="A6" s="2">
        <v>5</v>
      </c>
      <c r="B6" s="2">
        <v>4</v>
      </c>
      <c r="C6" s="3">
        <v>45545</v>
      </c>
      <c r="D6" s="2">
        <v>1</v>
      </c>
      <c r="E6" s="2" t="s">
        <v>12</v>
      </c>
      <c r="F6" s="2" t="s">
        <v>13</v>
      </c>
      <c r="G6" s="2">
        <v>6</v>
      </c>
      <c r="H6" s="2" t="s">
        <v>23</v>
      </c>
      <c r="I6" s="2" t="s">
        <v>24</v>
      </c>
      <c r="J6" s="2">
        <v>2</v>
      </c>
      <c r="K6" s="2">
        <v>150</v>
      </c>
      <c r="L6" s="2">
        <v>300</v>
      </c>
    </row>
    <row r="7" spans="1:12" s="2" customFormat="1" x14ac:dyDescent="0.25">
      <c r="A7" s="2">
        <v>6</v>
      </c>
      <c r="B7" s="2">
        <v>5</v>
      </c>
      <c r="C7" s="3">
        <v>45547</v>
      </c>
      <c r="D7" s="2">
        <v>5</v>
      </c>
      <c r="E7" s="2" t="s">
        <v>25</v>
      </c>
      <c r="F7" s="2" t="s">
        <v>26</v>
      </c>
      <c r="G7" s="2">
        <v>5</v>
      </c>
      <c r="H7" s="2" t="s">
        <v>27</v>
      </c>
      <c r="I7" s="2" t="s">
        <v>28</v>
      </c>
      <c r="J7" s="2">
        <v>1</v>
      </c>
      <c r="K7" s="2">
        <v>300</v>
      </c>
      <c r="L7" s="2">
        <v>300</v>
      </c>
    </row>
    <row r="8" spans="1:12" s="2" customFormat="1" x14ac:dyDescent="0.25">
      <c r="A8" s="2">
        <v>7</v>
      </c>
      <c r="B8" s="2">
        <v>6</v>
      </c>
      <c r="C8" s="3">
        <v>45550</v>
      </c>
      <c r="D8" s="2">
        <v>6</v>
      </c>
      <c r="E8" s="2" t="s">
        <v>29</v>
      </c>
      <c r="F8" s="2" t="s">
        <v>13</v>
      </c>
      <c r="G8" s="2">
        <v>7</v>
      </c>
      <c r="H8" s="2" t="s">
        <v>30</v>
      </c>
      <c r="I8" s="2" t="s">
        <v>24</v>
      </c>
      <c r="J8" s="2">
        <v>1</v>
      </c>
      <c r="K8" s="2">
        <v>200</v>
      </c>
      <c r="L8" s="2">
        <v>200</v>
      </c>
    </row>
    <row r="9" spans="1:12" s="2" customFormat="1" x14ac:dyDescent="0.25">
      <c r="A9" s="2">
        <v>8</v>
      </c>
      <c r="B9" s="2">
        <v>7</v>
      </c>
      <c r="C9" s="3">
        <v>45553</v>
      </c>
      <c r="D9" s="2">
        <v>7</v>
      </c>
      <c r="E9" s="2" t="s">
        <v>31</v>
      </c>
      <c r="F9" s="2" t="s">
        <v>32</v>
      </c>
      <c r="G9" s="2">
        <v>4</v>
      </c>
      <c r="H9" s="2" t="s">
        <v>33</v>
      </c>
      <c r="I9" s="2" t="s">
        <v>28</v>
      </c>
      <c r="J9" s="2">
        <v>2</v>
      </c>
      <c r="K9" s="2">
        <v>120</v>
      </c>
      <c r="L9" s="2">
        <v>240</v>
      </c>
    </row>
    <row r="10" spans="1:12" s="2" customFormat="1" x14ac:dyDescent="0.25">
      <c r="A10" s="2">
        <v>9</v>
      </c>
      <c r="B10" s="2">
        <v>8</v>
      </c>
      <c r="C10" s="3">
        <v>45555</v>
      </c>
      <c r="D10" s="2">
        <v>8</v>
      </c>
      <c r="E10" s="2" t="s">
        <v>34</v>
      </c>
      <c r="F10" s="2" t="s">
        <v>18</v>
      </c>
      <c r="G10" s="2">
        <v>8</v>
      </c>
      <c r="H10" s="2" t="s">
        <v>35</v>
      </c>
      <c r="I10" s="2" t="s">
        <v>36</v>
      </c>
      <c r="J10" s="2">
        <v>1</v>
      </c>
      <c r="K10" s="2">
        <v>180</v>
      </c>
      <c r="L10" s="2">
        <v>180</v>
      </c>
    </row>
    <row r="11" spans="1:12" s="2" customFormat="1" x14ac:dyDescent="0.25">
      <c r="A11" s="2">
        <v>10</v>
      </c>
      <c r="B11" s="2">
        <v>9</v>
      </c>
      <c r="C11" s="3">
        <v>45560</v>
      </c>
      <c r="D11" s="2">
        <v>9</v>
      </c>
      <c r="E11" s="2" t="s">
        <v>37</v>
      </c>
      <c r="F11" s="2" t="s">
        <v>38</v>
      </c>
      <c r="G11" s="2">
        <v>10</v>
      </c>
      <c r="H11" s="2" t="s">
        <v>39</v>
      </c>
      <c r="I11" s="2" t="s">
        <v>24</v>
      </c>
      <c r="J11" s="2">
        <v>3</v>
      </c>
      <c r="K11" s="2">
        <v>75</v>
      </c>
      <c r="L11" s="2">
        <v>225</v>
      </c>
    </row>
    <row r="12" spans="1:12" s="2" customFormat="1" x14ac:dyDescent="0.25">
      <c r="A12" s="2">
        <v>11</v>
      </c>
      <c r="B12" s="2">
        <v>10</v>
      </c>
      <c r="C12" s="3">
        <v>45563</v>
      </c>
      <c r="D12" s="2">
        <v>10</v>
      </c>
      <c r="E12" s="2" t="s">
        <v>40</v>
      </c>
      <c r="F12" s="2" t="s">
        <v>13</v>
      </c>
      <c r="G12" s="2">
        <v>1</v>
      </c>
      <c r="H12" s="2" t="s">
        <v>14</v>
      </c>
      <c r="I12" s="2" t="s">
        <v>15</v>
      </c>
      <c r="J12" s="2">
        <v>1</v>
      </c>
      <c r="K12" s="2">
        <v>900</v>
      </c>
      <c r="L12" s="2">
        <v>900</v>
      </c>
    </row>
    <row r="13" spans="1:12" s="2" customFormat="1" x14ac:dyDescent="0.25">
      <c r="A13" s="2">
        <v>12</v>
      </c>
      <c r="B13" s="2">
        <v>11</v>
      </c>
      <c r="C13" s="3">
        <v>45566</v>
      </c>
      <c r="D13" s="2">
        <v>4</v>
      </c>
      <c r="E13" s="2" t="s">
        <v>41</v>
      </c>
      <c r="F13" s="2" t="s">
        <v>32</v>
      </c>
      <c r="G13" s="2">
        <v>2</v>
      </c>
      <c r="H13" s="2" t="s">
        <v>19</v>
      </c>
      <c r="I13" s="2" t="s">
        <v>15</v>
      </c>
      <c r="J13" s="2">
        <v>1</v>
      </c>
      <c r="K13" s="2">
        <v>650</v>
      </c>
      <c r="L13" s="2">
        <v>650</v>
      </c>
    </row>
    <row r="14" spans="1:12" s="2" customFormat="1" x14ac:dyDescent="0.25">
      <c r="A14" s="2">
        <v>13</v>
      </c>
      <c r="B14" s="2">
        <v>12</v>
      </c>
      <c r="C14" s="3">
        <v>45568</v>
      </c>
      <c r="D14" s="2">
        <v>2</v>
      </c>
      <c r="E14" s="2" t="s">
        <v>17</v>
      </c>
      <c r="F14" s="2" t="s">
        <v>18</v>
      </c>
      <c r="G14" s="2">
        <v>6</v>
      </c>
      <c r="H14" s="2" t="s">
        <v>23</v>
      </c>
      <c r="I14" s="2" t="s">
        <v>24</v>
      </c>
      <c r="J14" s="2">
        <v>1</v>
      </c>
      <c r="K14" s="2">
        <v>150</v>
      </c>
      <c r="L14" s="2">
        <v>150</v>
      </c>
    </row>
    <row r="15" spans="1:12" s="2" customFormat="1" x14ac:dyDescent="0.25">
      <c r="A15" s="2">
        <v>14</v>
      </c>
      <c r="B15" s="2">
        <v>13</v>
      </c>
      <c r="C15" s="3">
        <v>45570</v>
      </c>
      <c r="D15" s="2">
        <v>3</v>
      </c>
      <c r="E15" s="2" t="s">
        <v>20</v>
      </c>
      <c r="F15" s="2" t="s">
        <v>21</v>
      </c>
      <c r="G15" s="2">
        <v>3</v>
      </c>
      <c r="H15" s="2" t="s">
        <v>22</v>
      </c>
      <c r="I15" s="2" t="s">
        <v>15</v>
      </c>
      <c r="J15" s="2">
        <v>2</v>
      </c>
      <c r="K15" s="2">
        <v>750</v>
      </c>
      <c r="L15" s="2">
        <v>1500</v>
      </c>
    </row>
    <row r="16" spans="1:12" s="2" customFormat="1" x14ac:dyDescent="0.25">
      <c r="A16" s="2">
        <v>15</v>
      </c>
      <c r="B16" s="2">
        <v>13</v>
      </c>
      <c r="C16" s="3">
        <v>45570</v>
      </c>
      <c r="D16" s="2">
        <v>3</v>
      </c>
      <c r="E16" s="2" t="s">
        <v>20</v>
      </c>
      <c r="F16" s="2" t="s">
        <v>21</v>
      </c>
      <c r="G16" s="2">
        <v>9</v>
      </c>
      <c r="H16" s="2" t="s">
        <v>16</v>
      </c>
      <c r="I16" s="2" t="s">
        <v>15</v>
      </c>
      <c r="J16" s="2">
        <v>1</v>
      </c>
      <c r="K16" s="2">
        <v>85</v>
      </c>
      <c r="L16" s="2">
        <v>85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9BB57-3DFD-4E49-9FAB-274D3B75E653}">
  <dimension ref="A1:J20"/>
  <sheetViews>
    <sheetView workbookViewId="0">
      <selection activeCell="J12" sqref="J12"/>
    </sheetView>
  </sheetViews>
  <sheetFormatPr defaultRowHeight="15" x14ac:dyDescent="0.25"/>
  <cols>
    <col min="1" max="1" width="16.85546875" bestFit="1" customWidth="1"/>
    <col min="3" max="3" width="13.42578125" bestFit="1" customWidth="1"/>
    <col min="4" max="4" width="16.85546875" bestFit="1" customWidth="1"/>
    <col min="6" max="6" width="17" bestFit="1" customWidth="1"/>
    <col min="7" max="7" width="15.28515625" bestFit="1" customWidth="1"/>
    <col min="9" max="9" width="13.42578125" bestFit="1" customWidth="1"/>
    <col min="10" max="10" width="16.85546875" bestFit="1" customWidth="1"/>
  </cols>
  <sheetData>
    <row r="1" spans="1:10" x14ac:dyDescent="0.25">
      <c r="A1" t="s">
        <v>42</v>
      </c>
      <c r="C1" s="5" t="s">
        <v>44</v>
      </c>
      <c r="D1" t="s">
        <v>42</v>
      </c>
      <c r="F1" s="5" t="s">
        <v>44</v>
      </c>
      <c r="G1" t="s">
        <v>42</v>
      </c>
    </row>
    <row r="2" spans="1:10" x14ac:dyDescent="0.25">
      <c r="A2" s="4">
        <v>7200</v>
      </c>
      <c r="C2" s="6" t="s">
        <v>46</v>
      </c>
      <c r="D2">
        <v>4815</v>
      </c>
      <c r="F2" s="6" t="s">
        <v>20</v>
      </c>
      <c r="G2">
        <v>2335</v>
      </c>
      <c r="I2" s="7" t="s">
        <v>48</v>
      </c>
    </row>
    <row r="3" spans="1:10" x14ac:dyDescent="0.25">
      <c r="C3" s="6" t="s">
        <v>47</v>
      </c>
      <c r="D3">
        <v>2385</v>
      </c>
      <c r="F3" s="6" t="s">
        <v>12</v>
      </c>
      <c r="G3">
        <v>1370</v>
      </c>
      <c r="I3" s="8">
        <f>GETPIVOTDATA("revenue",$A$1)/GETPIVOTDATA("order_id",$A$4)</f>
        <v>480</v>
      </c>
    </row>
    <row r="4" spans="1:10" x14ac:dyDescent="0.25">
      <c r="A4" t="s">
        <v>43</v>
      </c>
      <c r="C4" s="6" t="s">
        <v>45</v>
      </c>
      <c r="D4">
        <v>7200</v>
      </c>
      <c r="F4" s="6" t="s">
        <v>40</v>
      </c>
      <c r="G4">
        <v>900</v>
      </c>
    </row>
    <row r="5" spans="1:10" x14ac:dyDescent="0.25">
      <c r="A5">
        <v>15</v>
      </c>
      <c r="F5" s="6" t="s">
        <v>17</v>
      </c>
      <c r="G5">
        <v>800</v>
      </c>
      <c r="I5" s="5" t="s">
        <v>44</v>
      </c>
      <c r="J5" t="s">
        <v>43</v>
      </c>
    </row>
    <row r="6" spans="1:10" x14ac:dyDescent="0.25">
      <c r="C6" s="5" t="s">
        <v>44</v>
      </c>
      <c r="D6" t="s">
        <v>42</v>
      </c>
      <c r="F6" s="6" t="s">
        <v>41</v>
      </c>
      <c r="G6">
        <v>650</v>
      </c>
      <c r="I6" s="6" t="s">
        <v>46</v>
      </c>
      <c r="J6">
        <v>11</v>
      </c>
    </row>
    <row r="7" spans="1:10" x14ac:dyDescent="0.25">
      <c r="C7" s="6" t="s">
        <v>15</v>
      </c>
      <c r="D7">
        <v>5605</v>
      </c>
      <c r="F7" s="6" t="s">
        <v>45</v>
      </c>
      <c r="G7">
        <v>6055</v>
      </c>
      <c r="I7" s="6" t="s">
        <v>47</v>
      </c>
      <c r="J7">
        <v>4</v>
      </c>
    </row>
    <row r="8" spans="1:10" x14ac:dyDescent="0.25">
      <c r="C8" s="6" t="s">
        <v>24</v>
      </c>
      <c r="D8">
        <v>875</v>
      </c>
      <c r="I8" s="6" t="s">
        <v>45</v>
      </c>
      <c r="J8">
        <v>15</v>
      </c>
    </row>
    <row r="9" spans="1:10" x14ac:dyDescent="0.25">
      <c r="C9" s="6" t="s">
        <v>28</v>
      </c>
      <c r="D9">
        <v>540</v>
      </c>
      <c r="F9" s="5" t="s">
        <v>44</v>
      </c>
      <c r="G9" t="s">
        <v>42</v>
      </c>
    </row>
    <row r="10" spans="1:10" x14ac:dyDescent="0.25">
      <c r="C10" s="6" t="s">
        <v>36</v>
      </c>
      <c r="D10">
        <v>180</v>
      </c>
      <c r="F10" s="6" t="s">
        <v>22</v>
      </c>
      <c r="G10">
        <v>2250</v>
      </c>
    </row>
    <row r="11" spans="1:10" x14ac:dyDescent="0.25">
      <c r="C11" s="6" t="s">
        <v>45</v>
      </c>
      <c r="D11">
        <v>7200</v>
      </c>
      <c r="F11" s="6" t="s">
        <v>14</v>
      </c>
      <c r="G11">
        <v>1800</v>
      </c>
    </row>
    <row r="12" spans="1:10" x14ac:dyDescent="0.25">
      <c r="F12" s="6" t="s">
        <v>19</v>
      </c>
      <c r="G12">
        <v>1300</v>
      </c>
    </row>
    <row r="13" spans="1:10" x14ac:dyDescent="0.25">
      <c r="C13" s="5" t="s">
        <v>44</v>
      </c>
      <c r="D13" t="s">
        <v>43</v>
      </c>
      <c r="F13" s="6" t="s">
        <v>23</v>
      </c>
      <c r="G13">
        <v>450</v>
      </c>
    </row>
    <row r="14" spans="1:10" x14ac:dyDescent="0.25">
      <c r="C14" s="6" t="s">
        <v>13</v>
      </c>
      <c r="D14">
        <v>5</v>
      </c>
      <c r="F14" s="6" t="s">
        <v>27</v>
      </c>
      <c r="G14">
        <v>300</v>
      </c>
    </row>
    <row r="15" spans="1:10" x14ac:dyDescent="0.25">
      <c r="C15" s="6" t="s">
        <v>21</v>
      </c>
      <c r="D15">
        <v>3</v>
      </c>
      <c r="F15" s="6" t="s">
        <v>16</v>
      </c>
      <c r="G15">
        <v>255</v>
      </c>
    </row>
    <row r="16" spans="1:10" x14ac:dyDescent="0.25">
      <c r="C16" s="6" t="s">
        <v>18</v>
      </c>
      <c r="D16">
        <v>3</v>
      </c>
      <c r="F16" s="6" t="s">
        <v>33</v>
      </c>
      <c r="G16">
        <v>240</v>
      </c>
    </row>
    <row r="17" spans="3:7" x14ac:dyDescent="0.25">
      <c r="C17" s="6" t="s">
        <v>32</v>
      </c>
      <c r="D17">
        <v>2</v>
      </c>
      <c r="F17" s="6" t="s">
        <v>39</v>
      </c>
      <c r="G17">
        <v>225</v>
      </c>
    </row>
    <row r="18" spans="3:7" x14ac:dyDescent="0.25">
      <c r="C18" s="6" t="s">
        <v>26</v>
      </c>
      <c r="D18">
        <v>1</v>
      </c>
      <c r="F18" s="6" t="s">
        <v>30</v>
      </c>
      <c r="G18">
        <v>200</v>
      </c>
    </row>
    <row r="19" spans="3:7" x14ac:dyDescent="0.25">
      <c r="C19" s="6" t="s">
        <v>38</v>
      </c>
      <c r="D19">
        <v>1</v>
      </c>
      <c r="F19" s="6" t="s">
        <v>35</v>
      </c>
      <c r="G19">
        <v>180</v>
      </c>
    </row>
    <row r="20" spans="3:7" x14ac:dyDescent="0.25">
      <c r="C20" s="6" t="s">
        <v>45</v>
      </c>
      <c r="D20">
        <v>15</v>
      </c>
      <c r="F20" s="6" t="s">
        <v>45</v>
      </c>
      <c r="G20">
        <v>7200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4A15A-F0A7-4247-B96B-7ABCCF030904}">
  <dimension ref="A1"/>
  <sheetViews>
    <sheetView topLeftCell="A31" workbookViewId="0">
      <selection activeCell="J33" sqref="J33"/>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7793D-9F60-473E-8265-722170B226D3}">
  <dimension ref="A5:A10"/>
  <sheetViews>
    <sheetView showGridLines="0" showRowColHeaders="0" tabSelected="1" zoomScale="60" zoomScaleNormal="60" workbookViewId="0">
      <selection sqref="A1:XFD1"/>
    </sheetView>
  </sheetViews>
  <sheetFormatPr defaultRowHeight="15" x14ac:dyDescent="0.25"/>
  <sheetData>
    <row r="5" customFormat="1" x14ac:dyDescent="0.25"/>
    <row r="7" customFormat="1" x14ac:dyDescent="0.25"/>
    <row r="10" customFormat="1" x14ac:dyDescent="0.25"/>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E-Commerce Sales Project Master</vt:lpstr>
      <vt:lpstr>Pivot Table</vt:lpstr>
      <vt:lpstr>Charts</vt:lpstr>
      <vt:lpstr>Dashboard</vt:lpstr>
      <vt:lpstr>AvgOrderValue</vt:lpstr>
      <vt:lpstr>OrderCount</vt:lpstr>
      <vt:lpstr>TotalRevenue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Bossilly D Great</cp:lastModifiedBy>
  <dcterms:created xsi:type="dcterms:W3CDTF">2026-03-10T19:24:51Z</dcterms:created>
  <dcterms:modified xsi:type="dcterms:W3CDTF">2026-03-12T14:39:04Z</dcterms:modified>
</cp:coreProperties>
</file>